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738445A75B58F1E1646140EC30BA8E4FD04E109E" xr6:coauthVersionLast="47" xr6:coauthVersionMax="47" xr10:uidLastSave="{00000000-0000-0000-0000-000000000000}"/>
  <bookViews>
    <workbookView xWindow="-108" yWindow="-108" windowWidth="23256" windowHeight="12456" activeTab="16" xr2:uid="{00000000-000D-0000-FFFF-FFFF00000000}"/>
  </bookViews>
  <sheets>
    <sheet name="README" sheetId="1" r:id="rId1"/>
    <sheet name="Definitions" sheetId="2" r:id="rId2"/>
    <sheet name="Assumptions" sheetId="3" r:id="rId3"/>
    <sheet name="Industry_Data" sheetId="4" r:id="rId4"/>
    <sheet name="Forecast_Model" sheetId="5" r:id="rId5"/>
    <sheet name="Ranking_Summary" sheetId="6" r:id="rId6"/>
    <sheet name="Sources_Log" sheetId="7" r:id="rId7"/>
    <sheet name="TEL_Notes" sheetId="8" r:id="rId8"/>
    <sheet name="NET_Notes" sheetId="9" r:id="rId9"/>
    <sheet name="SEC_Notes" sheetId="10" r:id="rId10"/>
    <sheet name="SBL_Notes" sheetId="11" r:id="rId11"/>
    <sheet name="DCA_Notes" sheetId="12" r:id="rId12"/>
    <sheet name="ROB_Notes" sheetId="13" r:id="rId13"/>
    <sheet name="CEV_Notes" sheetId="14" r:id="rId14"/>
    <sheet name="Target_Markets_Regions" sheetId="15" r:id="rId15"/>
    <sheet name="Target_Markets_Countries" sheetId="16" r:id="rId16"/>
    <sheet name="Target_Markets_By_Industry" sheetId="17" r:id="rId17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4" l="1"/>
  <c r="E5" i="14"/>
  <c r="E6" i="13"/>
  <c r="E5" i="13"/>
  <c r="E6" i="12"/>
  <c r="E5" i="12"/>
  <c r="E6" i="11"/>
  <c r="E5" i="11"/>
  <c r="E6" i="10"/>
  <c r="E5" i="10"/>
  <c r="E6" i="9"/>
  <c r="E5" i="9"/>
  <c r="E6" i="8"/>
  <c r="E5" i="8"/>
  <c r="G13" i="6"/>
  <c r="G12" i="6"/>
  <c r="G11" i="6"/>
  <c r="G10" i="6"/>
  <c r="G9" i="6"/>
  <c r="G8" i="6"/>
  <c r="G7" i="6"/>
  <c r="B9" i="5"/>
  <c r="F4" i="5"/>
  <c r="C4" i="5"/>
  <c r="C9" i="5" s="1"/>
  <c r="B4" i="5"/>
  <c r="M11" i="4"/>
  <c r="K11" i="4"/>
  <c r="F11" i="4"/>
  <c r="E11" i="4"/>
  <c r="M10" i="4"/>
  <c r="K10" i="4"/>
  <c r="F10" i="4"/>
  <c r="M9" i="4"/>
  <c r="K9" i="4"/>
  <c r="F9" i="4"/>
  <c r="E9" i="4"/>
  <c r="E7" i="12" s="1"/>
  <c r="M8" i="4"/>
  <c r="K8" i="4"/>
  <c r="F8" i="4"/>
  <c r="M7" i="4"/>
  <c r="K7" i="4"/>
  <c r="F7" i="4"/>
  <c r="E7" i="4"/>
  <c r="M6" i="4"/>
  <c r="K6" i="4"/>
  <c r="F6" i="4"/>
  <c r="M5" i="4"/>
  <c r="K5" i="4"/>
  <c r="F5" i="4"/>
  <c r="B18" i="3"/>
  <c r="B7" i="3"/>
  <c r="E5" i="4" s="1"/>
  <c r="H5" i="5" l="1"/>
  <c r="E7" i="8"/>
  <c r="F5" i="5"/>
  <c r="I5" i="5" s="1"/>
  <c r="O9" i="4"/>
  <c r="C5" i="5"/>
  <c r="B5" i="5"/>
  <c r="F7" i="5"/>
  <c r="I7" i="5" s="1"/>
  <c r="F9" i="5"/>
  <c r="I9" i="5" s="1"/>
  <c r="B11" i="5"/>
  <c r="G11" i="5" s="1"/>
  <c r="E6" i="4"/>
  <c r="C11" i="5"/>
  <c r="D4" i="5"/>
  <c r="E4" i="5" s="1"/>
  <c r="E7" i="5" s="1"/>
  <c r="D9" i="5"/>
  <c r="E8" i="4"/>
  <c r="H9" i="5"/>
  <c r="B7" i="5"/>
  <c r="G7" i="5" s="1"/>
  <c r="F11" i="5"/>
  <c r="I11" i="5" s="1"/>
  <c r="E10" i="4"/>
  <c r="C7" i="5"/>
  <c r="E7" i="10"/>
  <c r="E7" i="14"/>
  <c r="D7" i="5"/>
  <c r="H11" i="5"/>
  <c r="H7" i="5"/>
  <c r="E8" i="12" l="1"/>
  <c r="Q9" i="4"/>
  <c r="E10" i="12" s="1"/>
  <c r="E5" i="5"/>
  <c r="H6" i="5"/>
  <c r="C6" i="5"/>
  <c r="E6" i="5"/>
  <c r="B6" i="5"/>
  <c r="F6" i="5"/>
  <c r="I6" i="5" s="1"/>
  <c r="E7" i="9"/>
  <c r="D6" i="5"/>
  <c r="O6" i="4"/>
  <c r="G9" i="5"/>
  <c r="E11" i="5"/>
  <c r="O10" i="4"/>
  <c r="O11" i="4"/>
  <c r="E10" i="5"/>
  <c r="B10" i="5"/>
  <c r="D10" i="5"/>
  <c r="C10" i="5"/>
  <c r="E7" i="13"/>
  <c r="H10" i="5"/>
  <c r="F10" i="5"/>
  <c r="I10" i="5" s="1"/>
  <c r="O7" i="4"/>
  <c r="D11" i="5"/>
  <c r="D5" i="5"/>
  <c r="E7" i="11"/>
  <c r="H8" i="5"/>
  <c r="F8" i="5"/>
  <c r="I8" i="5" s="1"/>
  <c r="E8" i="5"/>
  <c r="D8" i="5"/>
  <c r="C8" i="5"/>
  <c r="B8" i="5"/>
  <c r="G8" i="5" s="1"/>
  <c r="O5" i="4"/>
  <c r="P9" i="4" s="1"/>
  <c r="E9" i="12" s="1"/>
  <c r="O8" i="4"/>
  <c r="E9" i="5"/>
  <c r="G5" i="5"/>
  <c r="Q8" i="4" l="1"/>
  <c r="E10" i="11" s="1"/>
  <c r="E8" i="11"/>
  <c r="P8" i="4"/>
  <c r="E9" i="11" s="1"/>
  <c r="G10" i="5"/>
  <c r="Q7" i="4"/>
  <c r="E10" i="10" s="1"/>
  <c r="E8" i="10"/>
  <c r="P7" i="4"/>
  <c r="E9" i="10" s="1"/>
  <c r="Q10" i="4"/>
  <c r="E10" i="13" s="1"/>
  <c r="P10" i="4"/>
  <c r="E9" i="13" s="1"/>
  <c r="E8" i="13"/>
  <c r="Q6" i="4"/>
  <c r="E10" i="9" s="1"/>
  <c r="P6" i="4"/>
  <c r="E9" i="9" s="1"/>
  <c r="E8" i="9"/>
  <c r="E8" i="14"/>
  <c r="Q11" i="4"/>
  <c r="E10" i="14" s="1"/>
  <c r="P11" i="4"/>
  <c r="E9" i="14" s="1"/>
  <c r="E8" i="8"/>
  <c r="Q5" i="4"/>
  <c r="E10" i="8" s="1"/>
  <c r="P5" i="4"/>
  <c r="E9" i="8" s="1"/>
  <c r="G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Enter the current / base-year market size in $ millions. Keep the geography consistent across industries.</t>
        </r>
      </text>
    </comment>
    <comment ref="D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Enter the forecast-year market size in $ millions. Use the same forecast year as in Assumptions.</t>
        </r>
      </text>
    </comment>
    <comment ref="G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Manual score from 1 to 10. 10 = strongest technology momentum.</t>
        </r>
      </text>
    </comment>
    <comment ref="J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Manual score from 1 to 10. 10 = very intense competition. The model converts this into attractiveness automatically.</t>
        </r>
      </text>
    </comment>
    <comment ref="U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Paste the best supporting URL for the row. Log all sources in Sources_Log.</t>
        </r>
      </text>
    </comment>
    <comment ref="C5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https://www.marketsandmarkets.com/PressReleases/fiber-optic-component.asp
Publication / source horizon: 2025-05-02
Note: Some 2025E or 2030E values are aligned to the workbook horizon from the source CAGR.</t>
        </r>
      </text>
    </comment>
    <comment ref="D5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https://www.marketsandmarkets.com/PressReleases/fiber-optic-component.asp
Publication / source horizon: 2025-05-02
Note: Some 2025E or 2030E values are aligned to the workbook horizon from the source CAGR.</t>
        </r>
      </text>
    </comment>
    <comment ref="C6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https://www.marketsandmarkets.com/PressReleases/enterprise-networking.asp
Publication / source horizon: 2025-04-28
Note: Some 2025E or 2030E values are aligned to the workbook horizon from the source CAGR.</t>
        </r>
      </text>
    </comment>
    <comment ref="D6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https://www.marketsandmarkets.com/PressReleases/enterprise-networking.asp
Publication / source horizon: 2025-04-28
Note: Some 2025E or 2030E values are aligned to the workbook horizon from the source CAGR.</t>
        </r>
      </text>
    </comment>
    <comment ref="C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https://www.marketsandmarkets.com/Market-Reports/physical-security-market-1014.html
Publication / source horizon: 2025
Note: Some 2025E or 2030E values are aligned to the workbook horizon from the source CAGR.</t>
        </r>
      </text>
    </comment>
    <comment ref="D7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Main source: https://www.marketsandmarkets.com/Market-Reports/physical-security-market-1014.html
Publication / source horizon: 2025
Note: Some 2025E or 2030E values are aligned to the workbook horizon from the source CAGR.</t>
        </r>
      </text>
    </comment>
    <comment ref="C8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Main source: https://www.grandviewresearch.com/industry-analysis/global-smart-buildings-market
Publication / source horizon: 2026
Note: Some 2025E or 2030E values are aligned to the workbook horizon from the source CAGR.</t>
        </r>
      </text>
    </comment>
    <comment ref="D8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Main source: https://www.grandviewresearch.com/industry-analysis/global-smart-buildings-market
Publication / source horizon: 2026
Note: Some 2025E or 2030E values are aligned to the workbook horizon from the source CAGR.</t>
        </r>
      </text>
    </comment>
    <comment ref="C9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Main source: https://iot-analytics.com/data-center-infrastructure-market/
Publication / source horizon: 2025-11-12
Note: Some 2025E or 2030E values are aligned to the workbook horizon from the source CAGR.</t>
        </r>
      </text>
    </comment>
    <comment ref="D9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Main source: https://iot-analytics.com/data-center-infrastructure-market/
Publication / source horizon: 2025-11-12
Note: Some 2025E or 2030E values are aligned to the workbook horizon from the source CAGR.</t>
        </r>
      </text>
    </comment>
    <comment ref="C10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Main source: https://www.knowledge-sourcing.com/report/service-robot-market
Publication / source horizon: 2025
Note: Some 2025E or 2030E values are aligned to the workbook horizon from the source CAGR.</t>
        </r>
      </text>
    </comment>
    <comment ref="D10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Main source: https://www.knowledge-sourcing.com/report/service-robot-market
Publication / source horizon: 2025
Note: Some 2025E or 2030E values are aligned to the workbook horizon from the source CAGR.</t>
        </r>
      </text>
    </comment>
    <comment ref="C11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Main source: https://www.grandviewresearch.com/industry-analysis/commercial-display-market
Publication / source horizon: 2026
Note: Some 2025E or 2030E values are aligned to the workbook horizon from the source CAGR.</t>
        </r>
      </text>
    </comment>
    <comment ref="D11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Main source: https://www.grandviewresearch.com/industry-analysis/commercial-display-market
Publication / source horizon: 2026
Note: Some 2025E or 2030E values are aligned to the workbook horizon from the source CAGR.</t>
        </r>
      </text>
    </comment>
  </commentList>
</comments>
</file>

<file path=xl/sharedStrings.xml><?xml version="1.0" encoding="utf-8"?>
<sst xmlns="http://schemas.openxmlformats.org/spreadsheetml/2006/main" count="3260" uniqueCount="757">
  <si>
    <t>Industry Report Research Template
Single workbook for market figures, forecasts, scoring, comments, and source logging</t>
  </si>
  <si>
    <t>Purpose</t>
  </si>
  <si>
    <t>Use this workbook to collect evidence across seven strategic industries, compare market size and forecast potential, document PESTLE and Five Forces, and prioritize which domains deserve deeper business-unit audits.</t>
  </si>
  <si>
    <t>Recommended workflow</t>
  </si>
  <si>
    <t>1. Review or edit industry definitions in the Definitions sheet.</t>
  </si>
  <si>
    <t>2. Review the Assumptions sheet: controls at the top, global trend assumptions at the bottom.</t>
  </si>
  <si>
    <t>3. Record every source in Sources_Log and paste the main URL in Industry_Data.</t>
  </si>
  <si>
    <t>4. Use each industry sheet for narrative notes, demand drivers, PESTLE, Five Forces, risks, and decision comments.</t>
  </si>
  <si>
    <t>5. Review Ranking_Summary to see which industry scores highest based on your weights.</t>
  </si>
  <si>
    <t>6. Adjust weights in Assumptions if your strategic priorities change.</t>
  </si>
  <si>
    <t>Color legend</t>
  </si>
  <si>
    <t>Format</t>
  </si>
  <si>
    <t>Meaning</t>
  </si>
  <si>
    <t>Blue text / light blue fill</t>
  </si>
  <si>
    <t>Manual inputs and editable assumptions</t>
  </si>
  <si>
    <t>Black text</t>
  </si>
  <si>
    <t>Formula / calculated cells</t>
  </si>
  <si>
    <t>Green fill</t>
  </si>
  <si>
    <t>Linked / reference cells</t>
  </si>
  <si>
    <t>Gray fill</t>
  </si>
  <si>
    <t>Static text or definitions</t>
  </si>
  <si>
    <t>Orange fill</t>
  </si>
  <si>
    <t>Review / caution areas</t>
  </si>
  <si>
    <t>Purple fill</t>
  </si>
  <si>
    <t>Controls / weights / logic</t>
  </si>
  <si>
    <t>Teal fill</t>
  </si>
  <si>
    <t>Summary KPI or key decision cells</t>
  </si>
  <si>
    <t>Yellow fill</t>
  </si>
  <si>
    <t>Source-URL paste / manually checked external references</t>
  </si>
  <si>
    <t>New market sheets added</t>
  </si>
  <si>
    <t>Target_Markets_Regions</t>
  </si>
  <si>
    <t>Regional market figures and short PESTLE explanations, based on the Word market logic.</t>
  </si>
  <si>
    <t>Target_Markets_Countries</t>
  </si>
  <si>
    <t>Country list with simple market-size and growth outlook for prioritization.</t>
  </si>
  <si>
    <t>Target_Markets_By_Industry</t>
  </si>
  <si>
    <t>Country-by-country view of demand level for all 7 industry domains.</t>
  </si>
  <si>
    <t>Industry Definitions</t>
  </si>
  <si>
    <t>Code</t>
  </si>
  <si>
    <t>Industry Name</t>
  </si>
  <si>
    <t>Working Definition</t>
  </si>
  <si>
    <t>Typical Products / Systems</t>
  </si>
  <si>
    <t>Typical Customers</t>
  </si>
  <si>
    <t>Strategic Note</t>
  </si>
  <si>
    <t>TEL</t>
  </si>
  <si>
    <t>Telecommunications Infrastructure</t>
  </si>
  <si>
    <t>Physical and technological systems that enable the transmission of voice, data, and internet services across local, regional, and global communication networks.</t>
  </si>
  <si>
    <t>fiber optic cables; ODN/closures/cabinets; passive optical components; PON equipment; transmission systems</t>
  </si>
  <si>
    <t>telecom operators; ISPs; infrastructure contractors; system integrators</t>
  </si>
  <si>
    <t>Backbone connectivity domain supported by broadband rollout, 5G backhaul, and public network investment.</t>
  </si>
  <si>
    <t>NET</t>
  </si>
  <si>
    <t>Networking &amp; Data Systems</t>
  </si>
  <si>
    <t>Hardware and software systems that route, distribute, secure, and manage data traffic across enterprise, campus, carrier, and cloud environments.</t>
  </si>
  <si>
    <t>switches; routers; wireless access points; firewalls; structured cabling; network management platforms</t>
  </si>
  <si>
    <t>enterprises; IT integrators; telecom operators; cloud and service providers</t>
  </si>
  <si>
    <t>Benefits from enterprise digitalization, cloud migration, and traffic growth, but rivalry is intense.</t>
  </si>
  <si>
    <t>SEC</t>
  </si>
  <si>
    <t>Security &amp; Surveillance</t>
  </si>
  <si>
    <t>Technologies used to monitor, control, and protect physical environments, assets, and people through integrated security and surveillance systems.</t>
  </si>
  <si>
    <t>CCTV cameras; VMS; NVR/DVR; access control; alarms; perimeter systems</t>
  </si>
  <si>
    <t>security integrators; facility operators; government contractors; infrastructure developers</t>
  </si>
  <si>
    <t>Demand is shaped by safety budgets, regulation, and rising use of AI-enabled monitoring.</t>
  </si>
  <si>
    <t>SBL</t>
  </si>
  <si>
    <t>Smart Building &amp; IoT Systems</t>
  </si>
  <si>
    <t>Connected building systems that integrate sensors, controllers, software, and devices to optimize building operations, energy use, communications, and user experience.</t>
  </si>
  <si>
    <t>BMS; intercom; access control; IoT sensors; automation controllers; smart office and smart home devices</t>
  </si>
  <si>
    <t>developers; EPCs; smart-building integrators; facility managers; real estate owners</t>
  </si>
  <si>
    <t>High-growth domain tied to efficiency retrofits, premium real estate, and smart-city investment.</t>
  </si>
  <si>
    <t>DCA</t>
  </si>
  <si>
    <t>Data Centre &amp; AI Infrastructure</t>
  </si>
  <si>
    <t>High-performance infrastructure used to support cloud, storage, compute, and AI workloads, including dense connectivity, power, and cooling systems.</t>
  </si>
  <si>
    <t>high-speed optical interconnects; racks; structured connectivity; power distribution; cooling systems</t>
  </si>
  <si>
    <t>hyperscalers; colocation operators; cloud providers; AI infrastructure companies; governments</t>
  </si>
  <si>
    <t>Fastest strategic growth cluster, but constrained by power, capital intensity, and technical complexity.</t>
  </si>
  <si>
    <t>ROB</t>
  </si>
  <si>
    <t>Robotics &amp; Intelligent Devices</t>
  </si>
  <si>
    <t>Automated and AI-enabled machines used to perform physical or service tasks with limited human intervention across commercial, logistics, and operational environments.</t>
  </si>
  <si>
    <t>service robots; delivery robots; cleaning robots; warehouse robots; robot control systems; AI sensors</t>
  </si>
  <si>
    <t>logistics operators; hospitals; hotels; retailers; automation integrators; industrial users</t>
  </si>
  <si>
    <t>High upside from labor shortages and automation, but adoption depends on ROI and integration maturity.</t>
  </si>
  <si>
    <t>CEV</t>
  </si>
  <si>
    <t>Commercial Electronics &amp; Visual Systems</t>
  </si>
  <si>
    <t>Electronic and display-based systems used in commercial, professional, and public environments for visualization, communication, collaboration, and monitoring.</t>
  </si>
  <si>
    <t>commercial displays; video walls; digital signage; control room screens; conferencing systems</t>
  </si>
  <si>
    <t>AV integrators; enterprises; retail chains; public facilities; transport hubs; control centers</t>
  </si>
  <si>
    <t>Useful adjacent domain, though more capex-cyclical and price-driven than core infrastructure categories.</t>
  </si>
  <si>
    <t>Model Controls, Years, and Weighting</t>
  </si>
  <si>
    <t>Control</t>
  </si>
  <si>
    <t>Value</t>
  </si>
  <si>
    <t>Note</t>
  </si>
  <si>
    <t>Score</t>
  </si>
  <si>
    <t>Guide</t>
  </si>
  <si>
    <t>Use for</t>
  </si>
  <si>
    <t>Base Year</t>
  </si>
  <si>
    <t>Edit if your study uses a different current year</t>
  </si>
  <si>
    <t>Very weak / unfavorable</t>
  </si>
  <si>
    <t>Qualitative scores in Industry_Data</t>
  </si>
  <si>
    <t>Forecast Year</t>
  </si>
  <si>
    <t>Edit if your horizon changes</t>
  </si>
  <si>
    <t>Average / mixed</t>
  </si>
  <si>
    <t>Forecast Period (years)</t>
  </si>
  <si>
    <t>Calculated</t>
  </si>
  <si>
    <t>Very strong / favorable</t>
  </si>
  <si>
    <t>Scoring Component</t>
  </si>
  <si>
    <t>Weight</t>
  </si>
  <si>
    <t>How to read it</t>
  </si>
  <si>
    <t>Current market size</t>
  </si>
  <si>
    <t>Larger current market increases dominance potential</t>
  </si>
  <si>
    <t>Forecast market size</t>
  </si>
  <si>
    <t>Larger end-state market increases dominance potential</t>
  </si>
  <si>
    <t>CAGR</t>
  </si>
  <si>
    <t>Higher growth rate increases future dominance potential</t>
  </si>
  <si>
    <t>Technology momentum</t>
  </si>
  <si>
    <t>1-10 score entered by user</t>
  </si>
  <si>
    <t>Regional opportunity</t>
  </si>
  <si>
    <t>1-10 score based on target markets</t>
  </si>
  <si>
    <t>Strategic fit</t>
  </si>
  <si>
    <t>1-10 score based on your business fit</t>
  </si>
  <si>
    <t>Competition attractiveness</t>
  </si>
  <si>
    <t>Derived from competitive intensity (lower rivalry is better)</t>
  </si>
  <si>
    <t>Regulatory favorability</t>
  </si>
  <si>
    <t>Weight check</t>
  </si>
  <si>
    <t>Should equal 100.0%</t>
  </si>
  <si>
    <t>Bucket</t>
  </si>
  <si>
    <t>Minimum Score</t>
  </si>
  <si>
    <t>Interpretation</t>
  </si>
  <si>
    <t>Dominant Potential</t>
  </si>
  <si>
    <t>Likely strategic priority if evidence confirms</t>
  </si>
  <si>
    <t>Strong Candidate</t>
  </si>
  <si>
    <t>Promising and worth deeper analysis</t>
  </si>
  <si>
    <t>Watchlist</t>
  </si>
  <si>
    <t>Monitor or study further</t>
  </si>
  <si>
    <t>Emerging / Niche</t>
  </si>
  <si>
    <t>Potential but not yet dominant</t>
  </si>
  <si>
    <t>Global Trend Assumption</t>
  </si>
  <si>
    <t>Importance (1-10)</t>
  </si>
  <si>
    <t>Why it matters</t>
  </si>
  <si>
    <t>Main source URL</t>
  </si>
  <si>
    <t>AI data-centre buildout</t>
  </si>
  <si>
    <t>Pushes demand for dense optics, power, cooling, and advanced networking.</t>
  </si>
  <si>
    <t>https://www.iea.org/reports/energy-and-ai/energy-demand-from-ai</t>
  </si>
  <si>
    <t>Broadband + 5G traffic growth</t>
  </si>
  <si>
    <t>Supports fiber rollout, access upgrades, and core/edge capacity expansion.</t>
  </si>
  <si>
    <t>https://www.ericsson.com/en/reports-and-papers/mobility-report/dataforecasts/mobile-traffic-forecast</t>
  </si>
  <si>
    <t>Security and critical-infrastructure protection</t>
  </si>
  <si>
    <t>Sustains spending on surveillance, access control, and resilient site security.</t>
  </si>
  <si>
    <t>https://www.marketsandmarkets.com/Market-Reports/physical-security-market-1014.html</t>
  </si>
  <si>
    <t>Energy-efficiency retrofit pressure</t>
  </si>
  <si>
    <t>Accelerates smart-building controls, BMS, and building IoT upgrades.</t>
  </si>
  <si>
    <t>https://www.grandviewresearch.com/industry-analysis/global-smart-buildings-market</t>
  </si>
  <si>
    <t>Supply-chain diversification and vendor restrictions</t>
  </si>
  <si>
    <t>Raises sourcing complexity but creates openings for OEM, platform, and regional distribution models.</t>
  </si>
  <si>
    <t>https://www.pwc.com/us/en/industries/tmt/library/geo-economic-shifts-in-tech-and-telecom.html</t>
  </si>
  <si>
    <t>Labor shortages and automation economics</t>
  </si>
  <si>
    <t>Improves the business case for robotics and intelligent devices.</t>
  </si>
  <si>
    <t>https://ifr.org/ifr-press-releases/news/global-robot-demand-in-factories-doubles-over-10-years</t>
  </si>
  <si>
    <t>Smart retail / public-space modernization</t>
  </si>
  <si>
    <t>Supports demand for signage, displays, and commercial AV systems.</t>
  </si>
  <si>
    <t>https://www.grandviewresearch.com/industry-analysis/commercial-display-market</t>
  </si>
  <si>
    <t>Industry Data Entry and Auto-Scoring</t>
  </si>
  <si>
    <t>Industry</t>
  </si>
  <si>
    <t>Current Market Size
($m)</t>
  </si>
  <si>
    <t>Forecast Market Size
($m)</t>
  </si>
  <si>
    <t>Absolute Growth
($m)</t>
  </si>
  <si>
    <t>Technology
Momentum
(1-10)</t>
  </si>
  <si>
    <t>Regional
Opportunity
(1-10)</t>
  </si>
  <si>
    <t>Strategic Fit
(1-10)</t>
  </si>
  <si>
    <t>Competitive
Intensity
(1-10)</t>
  </si>
  <si>
    <t>Competition
Attractiveness</t>
  </si>
  <si>
    <t>Regulatory
Favorability
(1-10)</t>
  </si>
  <si>
    <t>Data
Completeness</t>
  </si>
  <si>
    <t>Data
Confidence
(1-5)</t>
  </si>
  <si>
    <t>Dominance
Score</t>
  </si>
  <si>
    <t>Rank</t>
  </si>
  <si>
    <t>Key Forecast Comment</t>
  </si>
  <si>
    <t>Risks / Constraints</t>
  </si>
  <si>
    <t>Priority Actions</t>
  </si>
  <si>
    <t>Main Source URL</t>
  </si>
  <si>
    <t>Optics growth is supported by AI interconnect demand, 5G backhaul, and FTTH expansion.</t>
  </si>
  <si>
    <t>Carrier capex cycles and vendor restrictions can delay programs.</t>
  </si>
  <si>
    <t>Prioritize passive + active fiber ecosystem, OEM sourcing, and ISP channels.</t>
  </si>
  <si>
    <t>https://www.marketsandmarkets.com/PressReleases/fiber-optic-component.asp</t>
  </si>
  <si>
    <t>Cloud migration, wireless upgrades, and secure enterprise architectures keep demand resilient.</t>
  </si>
  <si>
    <t>High rivalry, fast refresh cycles, and incumbent vendor lock-in compress margins.</t>
  </si>
  <si>
    <t>Focus on value-added distribution, bundled security/networking, and mid-market integration.</t>
  </si>
  <si>
    <t>https://www.marketsandmarkets.com/PressReleases/enterprise-networking.asp</t>
  </si>
  <si>
    <t>Security budgets remain stable and AI analytics expand use cases beyond basic monitoring.</t>
  </si>
  <si>
    <t>Privacy regulation, cybersecurity requirements, and price pressure on hardware.</t>
  </si>
  <si>
    <t>Build bundled camera + access + analytics offers and focus on regulated verticals.</t>
  </si>
  <si>
    <t>2030 value is estimated from 2025 market size and reported CAGR; retrofits and IoT integration are strong drivers.</t>
  </si>
  <si>
    <t>Fragmented standards, project complexity, and long building-investment cycles.</t>
  </si>
  <si>
    <t>Position around low-current systems, interoperability, and energy-efficiency retrofits.</t>
  </si>
  <si>
    <t>AI infrastructure is accelerating spending on data-centre equipment, power, cooling, and dense connectivity.</t>
  </si>
  <si>
    <t>Power availability, capital intensity, and hyperscaler procurement concentration.</t>
  </si>
  <si>
    <t>Target adjacency plays: optical interconnects, racks/cabling, and regional sourcing support.</t>
  </si>
  <si>
    <t>https://iot-analytics.com/data-center-infrastructure-market/</t>
  </si>
  <si>
    <t>Labor shortages and service automation support rapid growth, especially in logistics and hospitality.</t>
  </si>
  <si>
    <t>ROI proof, integration complexity, and safety/compliance hurdles slow adoption.</t>
  </si>
  <si>
    <t>Treat as growth option; build pilot partnerships before scaling inventory commitments.</t>
  </si>
  <si>
    <t>https://www.knowledge-sourcing.com/report/service-robot-market</t>
  </si>
  <si>
    <t>Commercial display demand tracks retail modernization, transport upgrades, control rooms, and workplace collaboration.</t>
  </si>
  <si>
    <t>Project timing, capex sensitivity, and panel price swings.</t>
  </si>
  <si>
    <t>Compete selectively in project-led segments with integration pull-through rather than pure resale.</t>
  </si>
  <si>
    <t>Annual Forecast Bridge</t>
  </si>
  <si>
    <t>Check vs Input
Forecast</t>
  </si>
  <si>
    <t>Dominance Ranking Summary</t>
  </si>
  <si>
    <t>Top Industry</t>
  </si>
  <si>
    <t>Top Score</t>
  </si>
  <si>
    <t>Avg Score</t>
  </si>
  <si>
    <t>Dominance Score</t>
  </si>
  <si>
    <t>Current Size ($m)</t>
  </si>
  <si>
    <t>Forecast Size ($m)</t>
  </si>
  <si>
    <t>Main Comment</t>
  </si>
  <si>
    <t>Source Log</t>
  </si>
  <si>
    <t>Date Added</t>
  </si>
  <si>
    <t>Metric / Topic</t>
  </si>
  <si>
    <t>Geography</t>
  </si>
  <si>
    <t>Source Type</t>
  </si>
  <si>
    <t>Source URL</t>
  </si>
  <si>
    <t>Publication Date</t>
  </si>
  <si>
    <t>Key Takeaway</t>
  </si>
  <si>
    <t>Reliability (1-5)</t>
  </si>
  <si>
    <t>2026-03-21</t>
  </si>
  <si>
    <t>Fiber optic components market size / forecast</t>
  </si>
  <si>
    <t>Global</t>
  </si>
  <si>
    <t>Market report</t>
  </si>
  <si>
    <t>2025-05-02</t>
  </si>
  <si>
    <t>2025 market size USD 36.69bn; 2030 forecast USD 58.65bn; AI + 5G + broadband are key drivers.</t>
  </si>
  <si>
    <t>Enterprise networking market size / forecast</t>
  </si>
  <si>
    <t>2025-04-28</t>
  </si>
  <si>
    <t>2025 market size USD 124.59bn; 2030 forecast USD 193.77bn.</t>
  </si>
  <si>
    <t>Physical security market size / forecast</t>
  </si>
  <si>
    <t>2025</t>
  </si>
  <si>
    <t>2025 market size USD 120.79bn; 2030 forecast USD 151.50bn.</t>
  </si>
  <si>
    <t>Smart building market size / CAGR</t>
  </si>
  <si>
    <t>2026</t>
  </si>
  <si>
    <t>2025 market size USD 141.79bn; workbook 2030E extrapolated from reported CAGR.</t>
  </si>
  <si>
    <t>Data-center equipment &amp; infrastructure market</t>
  </si>
  <si>
    <t>2025-11-12</t>
  </si>
  <si>
    <t>2024 market size USD 290bn; 2030 forecast USD 1.01tn; workbook 2025E estimated from source growth path.</t>
  </si>
  <si>
    <t>Service robotics market size / forecast</t>
  </si>
  <si>
    <t>2025 market size USD 40.8bn; 2030 forecast USD 99.1bn.</t>
  </si>
  <si>
    <t>Commercial display market size / forecast</t>
  </si>
  <si>
    <t>2024 market size USD 53.65bn; 2030 forecast USD 78.48bn; workbook 2025E estimated from CAGR.</t>
  </si>
  <si>
    <t>ALL</t>
  </si>
  <si>
    <t>AI power demand and data-center electricity growth</t>
  </si>
  <si>
    <t>Institutional analysis</t>
  </si>
  <si>
    <t>Data-centre electricity consumption is projected to roughly double by 2030.</t>
  </si>
  <si>
    <t>Mobile traffic / 5G traffic growth</t>
  </si>
  <si>
    <t>Industry report</t>
  </si>
  <si>
    <t>5G share of mobile data traffic rises sharply through 2031, supporting network upgrades.</t>
  </si>
  <si>
    <t>Telecom and data-centre geopolitical pressure</t>
  </si>
  <si>
    <t>Strategy article</t>
  </si>
  <si>
    <t>2025-07-22</t>
  </si>
  <si>
    <t>Tariffs, restrictions, and geopolitics are reshaping sourcing strategies.</t>
  </si>
  <si>
    <t>Industrial robot deployment trend</t>
  </si>
  <si>
    <t>Industry federation</t>
  </si>
  <si>
    <t>2025-09-25</t>
  </si>
  <si>
    <t>Industrial robot installations remained above 500k units in 2024, confirming broad automation demand.</t>
  </si>
  <si>
    <t>Market regions / countries</t>
  </si>
  <si>
    <t>World Bank Internet Users indicator</t>
  </si>
  <si>
    <t>https://data.worldbank.org/indicator/IT.NET.USER.ZS</t>
  </si>
  <si>
    <t>Country digital adoption baseline / market context</t>
  </si>
  <si>
    <t>ITU Facts and Figures 2025</t>
  </si>
  <si>
    <t>https://www.itu.int/en/ITU-D/Statistics/pages/facts/default.aspx</t>
  </si>
  <si>
    <t>Regional connectivity context and digital development trends</t>
  </si>
  <si>
    <t>Africa markets</t>
  </si>
  <si>
    <t>GSMA Mobile Economy Africa 2025</t>
  </si>
  <si>
    <t>https://www.gsmaintelligence.com/research/the-mobile-economy-africa-2025</t>
  </si>
  <si>
    <t>Mobile and digital economy context for African markets</t>
  </si>
  <si>
    <t>Global / LATAM / SEA market logic</t>
  </si>
  <si>
    <t>GSMA Mobile Economy 2025/2026</t>
  </si>
  <si>
    <t>https://www.gsma.com/solutions-and-impact/connectivity-for-good/mobile-economy/</t>
  </si>
  <si>
    <t>Global mobile and connectivity demand context</t>
  </si>
  <si>
    <t>Data Centre &amp; AI context</t>
  </si>
  <si>
    <t>JLL Data Center Outlook 2026</t>
  </si>
  <si>
    <t>https://www.jll.com/en-us/insights/market-outlook/data-center-outlook</t>
  </si>
  <si>
    <t>Data center growth logic used for DCA attractiveness</t>
  </si>
  <si>
    <t>Definition</t>
  </si>
  <si>
    <t>Metric</t>
  </si>
  <si>
    <t>Linked value</t>
  </si>
  <si>
    <t>Typical products / systems</t>
  </si>
  <si>
    <t>Current market size ($m)</t>
  </si>
  <si>
    <t>Typical customers</t>
  </si>
  <si>
    <t>Forecast market size ($m)</t>
  </si>
  <si>
    <t>Strategic note</t>
  </si>
  <si>
    <t>Dominance score</t>
  </si>
  <si>
    <t>Section</t>
  </si>
  <si>
    <t>Prompt / Question</t>
  </si>
  <si>
    <t>Notes / Figures</t>
  </si>
  <si>
    <t>Forecast comment</t>
  </si>
  <si>
    <t>Confidence</t>
  </si>
  <si>
    <t>Last update</t>
  </si>
  <si>
    <t>Market size</t>
  </si>
  <si>
    <t>What is the current market size? Which geography?</t>
  </si>
  <si>
    <t>Global market used in workbook: USD 36.69bn (2025/2025E aligned).</t>
  </si>
  <si>
    <t>Base year aligned to workbook control.</t>
  </si>
  <si>
    <t>Forecast</t>
  </si>
  <si>
    <t>What is the forecast size and time horizon?</t>
  </si>
  <si>
    <t>Workbook forecast: USD 58.65bn by 2030.</t>
  </si>
  <si>
    <t>Forecast horizon standardized to 2030 for comparison.</t>
  </si>
  <si>
    <t>Growth</t>
  </si>
  <si>
    <t>What CAGR or growth logic is reported?</t>
  </si>
  <si>
    <t>Implied CAGR in workbook: 9.8%.</t>
  </si>
  <si>
    <t>Useful for cross-industry comparison, not as a precise valuation input.</t>
  </si>
  <si>
    <t>Competitors</t>
  </si>
  <si>
    <t>Who are the main global / regional players?</t>
  </si>
  <si>
    <t>Coherent, Lumentum, Broadcom, Sumitomo, Accelink, Cisco/Acacia, Furukawa.</t>
  </si>
  <si>
    <t>Competition note reflects broad global landscape.</t>
  </si>
  <si>
    <t>Demand drivers</t>
  </si>
  <si>
    <t>Which structural drivers support demand?</t>
  </si>
  <si>
    <t>FTTH and broadband rollout; 5G backhaul and fronthaul; AI / data-centre interconnect.</t>
  </si>
  <si>
    <t>Drivers support the qualitative scores in Industry_Data.</t>
  </si>
  <si>
    <t>Profitability</t>
  </si>
  <si>
    <t>What is known about margin pool or value capture?</t>
  </si>
  <si>
    <t>Best value capture usually sits in integration, software, or higher-spec subsystems rather than commodity hardware alone.</t>
  </si>
  <si>
    <t>Margin pools differ sharply by position in the value chain.</t>
  </si>
  <si>
    <t>Barriers</t>
  </si>
  <si>
    <t>What barriers make this industry harder/easier to enter?</t>
  </si>
  <si>
    <t>Carrier capex delays; Vendor bans / geopolitics; Commodity price pressure.</t>
  </si>
  <si>
    <t>Entry barriers are a mix of technical, commercial, and regulatory factors.</t>
  </si>
  <si>
    <t>Demand Driver</t>
  </si>
  <si>
    <t>Strength (1-10)</t>
  </si>
  <si>
    <t>Comment</t>
  </si>
  <si>
    <t>Risk / Constraint</t>
  </si>
  <si>
    <t>Severity (1-10)</t>
  </si>
  <si>
    <t>FTTH and broadband rollout</t>
  </si>
  <si>
    <t>Governments and operators continue extending fiber access.</t>
  </si>
  <si>
    <t>Carrier capex delays</t>
  </si>
  <si>
    <t>Telecom spending is cyclical and can pause during macro stress.</t>
  </si>
  <si>
    <t>5G backhaul and fronthaul</t>
  </si>
  <si>
    <t>Mobile densification increases optical connectivity needs.</t>
  </si>
  <si>
    <t>Vendor bans / geopolitics</t>
  </si>
  <si>
    <t>Restrictions on selected vendors reshape sourcing and standards.</t>
  </si>
  <si>
    <t>AI / data-centre interconnect</t>
  </si>
  <si>
    <t>Higher traffic and lower latency push optical upgrades.</t>
  </si>
  <si>
    <t>Commodity price pressure</t>
  </si>
  <si>
    <t>Basic passive products face margin compression.</t>
  </si>
  <si>
    <t>Public infrastructure programs</t>
  </si>
  <si>
    <t>Subsidized rural and sovereign network projects support demand.</t>
  </si>
  <si>
    <t>Long qualification cycles</t>
  </si>
  <si>
    <t>Carrier approvals slow entry and scale-up.</t>
  </si>
  <si>
    <t>PESTLE Factor</t>
  </si>
  <si>
    <t>Impact</t>
  </si>
  <si>
    <t>Force</t>
  </si>
  <si>
    <t>Level</t>
  </si>
  <si>
    <t>Political</t>
  </si>
  <si>
    <t>Medium</t>
  </si>
  <si>
    <t>Public broadband programs help, but vendor restrictions and trade controls matter.</t>
  </si>
  <si>
    <t>Rivalry</t>
  </si>
  <si>
    <t>High</t>
  </si>
  <si>
    <t>Global and Chinese suppliers compete aggressively on price and lead time.</t>
  </si>
  <si>
    <t>Economic</t>
  </si>
  <si>
    <t>Demand is real but carrier capex and financing cycles affect timing.</t>
  </si>
  <si>
    <t>Buyer power</t>
  </si>
  <si>
    <t>Large operators and distributors negotiate hard.</t>
  </si>
  <si>
    <t>Social</t>
  </si>
  <si>
    <t>Connectivity remains a baseline service expectation.</t>
  </si>
  <si>
    <t>Supplier power</t>
  </si>
  <si>
    <t>Specialized optical components can tighten supply, but alternatives exist.</t>
  </si>
  <si>
    <t>Technological</t>
  </si>
  <si>
    <t>50G-PON, DCI, and AI traffic support upgrades.</t>
  </si>
  <si>
    <t>New entrants</t>
  </si>
  <si>
    <t>Manufacturing is possible, but carrier qualification is hard.</t>
  </si>
  <si>
    <t>Legal</t>
  </si>
  <si>
    <t>Standards, certifications, and data-security rules influence vendors.</t>
  </si>
  <si>
    <t>Substitutes</t>
  </si>
  <si>
    <t>Low</t>
  </si>
  <si>
    <t>Fiber remains the preferred medium for high-capacity fixed access/backbone.</t>
  </si>
  <si>
    <t>Environmental</t>
  </si>
  <si>
    <t>Operators seek lower-power, lower-loss networks.</t>
  </si>
  <si>
    <t>Overall</t>
  </si>
  <si>
    <t>Strategically attractive, but margin capture depends on position in the stack.</t>
  </si>
  <si>
    <t>Priority rises if broadband rollout and AI-related optical demand reinforce each other in target regions.</t>
  </si>
  <si>
    <t>Working hypothesis</t>
  </si>
  <si>
    <t>What would make this industry dominant in your target markets over the next 3-5 years?</t>
  </si>
  <si>
    <t>Increase priority if target markets show funded FTTH / FTTx projects and stable operator purchasing.</t>
  </si>
  <si>
    <t>Decision note</t>
  </si>
  <si>
    <t>What evidence would make you increase or reduce its priority?</t>
  </si>
  <si>
    <t>Global market used in workbook: USD 124.59bn (2025/2025E aligned).</t>
  </si>
  <si>
    <t>Workbook forecast: USD 193.77bn by 2030.</t>
  </si>
  <si>
    <t>Implied CAGR in workbook: 9.2%.</t>
  </si>
  <si>
    <t>Cisco, HPE Aruba, Juniper, Huawei, H3C, Fortinet, Ubiquiti.</t>
  </si>
  <si>
    <t>Cloud migration; Wi-Fi / access upgrades; Secure networking.</t>
  </si>
  <si>
    <t>High rivalry; Vendor lock-in; Rapid refresh cycles.</t>
  </si>
  <si>
    <t>Cloud migration</t>
  </si>
  <si>
    <t>More hybrid architectures require refresh of campus and edge networks.</t>
  </si>
  <si>
    <t>High rivalry</t>
  </si>
  <si>
    <t>Strong brands and channel saturation compress margins.</t>
  </si>
  <si>
    <t>Wi-Fi / access upgrades</t>
  </si>
  <si>
    <t>Higher traffic and device density drive AP and switch demand.</t>
  </si>
  <si>
    <t>Vendor lock-in</t>
  </si>
  <si>
    <t>Installed-base ecosystems make share capture harder.</t>
  </si>
  <si>
    <t>Secure networking</t>
  </si>
  <si>
    <t>SASE, SD-WAN, and segmentation raise value per deployment.</t>
  </si>
  <si>
    <t>Rapid refresh cycles</t>
  </si>
  <si>
    <t>Inventory risk rises when standards change quickly.</t>
  </si>
  <si>
    <t>Data traffic growth</t>
  </si>
  <si>
    <t>Enterprise applications and video workloads keep networks expanding.</t>
  </si>
  <si>
    <t>Price competition</t>
  </si>
  <si>
    <t>Hardware-only offers are vulnerable to discounting.</t>
  </si>
  <si>
    <t>Procurement preferences and country restrictions matter in some tenders.</t>
  </si>
  <si>
    <t>Global incumbents dominate share and ecosystem relationships.</t>
  </si>
  <si>
    <t>Enterprise IT budgets slow in downturns but networking stays mission-critical.</t>
  </si>
  <si>
    <t>Large enterprise and carrier buyers have many alternatives.</t>
  </si>
  <si>
    <t>Always-on connectivity is expected across work and services.</t>
  </si>
  <si>
    <t>Chipset dependencies matter, but multi-vendor sourcing is possible.</t>
  </si>
  <si>
    <t>Cloud, Wi-Fi 7, SDN, and AI operations accelerate refresh.</t>
  </si>
  <si>
    <t>Software-led entrants can win niches, but broad scale is hard.</t>
  </si>
  <si>
    <t>Cybersecurity and compliance rules shape architecture choices.</t>
  </si>
  <si>
    <t>Managed services and cloud networking can replace some on-prem demand.</t>
  </si>
  <si>
    <t>Efficiency matters, but it is not the main buying trigger.</t>
  </si>
  <si>
    <t>Useful adjacency, but differentiation must go beyond pure product resale.</t>
  </si>
  <si>
    <t>Priority rises if PlanetFiber can bundle networking with security, datacenter, or smart-building projects.</t>
  </si>
  <si>
    <t>Raise priority if recurring services, integration pull-through, or exclusive vendor rights improve margins.</t>
  </si>
  <si>
    <t>Global market used in workbook: USD 120.79bn (2025/2025E aligned).</t>
  </si>
  <si>
    <t>Workbook forecast: USD 151.50bn by 2030.</t>
  </si>
  <si>
    <t>Implied CAGR in workbook: 4.6%.</t>
  </si>
  <si>
    <t>Hikvision, Dahua, Axis, Hanwha Vision, Bosch, Honeywell, Motorola Solutions.</t>
  </si>
  <si>
    <t>Critical-infrastructure protection; AI analytics; Urbanization and real-estate projects.</t>
  </si>
  <si>
    <t>Privacy and cyber rules; Hardware commoditization; Geopolitical vendor scrutiny.</t>
  </si>
  <si>
    <t>Critical-infrastructure protection</t>
  </si>
  <si>
    <t>Governments and enterprises continue raising protection budgets.</t>
  </si>
  <si>
    <t>Privacy and cyber rules</t>
  </si>
  <si>
    <t>Compliance requirements increase solution complexity.</t>
  </si>
  <si>
    <t>AI analytics</t>
  </si>
  <si>
    <t>Video shifts from recording to operational intelligence.</t>
  </si>
  <si>
    <t>Hardware commoditization</t>
  </si>
  <si>
    <t>Camera hardware faces intense price pressure.</t>
  </si>
  <si>
    <t>Urbanization and real-estate projects</t>
  </si>
  <si>
    <t>New facilities require integrated monitoring and access.</t>
  </si>
  <si>
    <t>Geopolitical vendor scrutiny</t>
  </si>
  <si>
    <t>Public tenders may exclude selected brands.</t>
  </si>
  <si>
    <t>Insurance / compliance requirements</t>
  </si>
  <si>
    <t>Risk management sustains baseline demand.</t>
  </si>
  <si>
    <t>Project quality risk</t>
  </si>
  <si>
    <t>Poor installation harms performance and reputation.</t>
  </si>
  <si>
    <t>Public security spending helps, but vendor approvals vary by market.</t>
  </si>
  <si>
    <t>Many hardware vendors compete globally and regionally.</t>
  </si>
  <si>
    <t>Security budgets are relatively resilient compared with discretionary capex.</t>
  </si>
  <si>
    <t>Integrators and end users can switch, but project complexity reduces comparability.</t>
  </si>
  <si>
    <t>Safety concerns support persistent demand.</t>
  </si>
  <si>
    <t>Key components matter, but the vendor base is broad.</t>
  </si>
  <si>
    <t>AI analytics, cloud VMS, and edge processing expand value.</t>
  </si>
  <si>
    <t>Assembly entry is feasible; trusted brands and channels are harder to build.</t>
  </si>
  <si>
    <t>Privacy, retention, and cyber rules are central to product selection.</t>
  </si>
  <si>
    <t>Security functions remain required even if technology mix changes.</t>
  </si>
  <si>
    <t>Power efficiency matters but is secondary.</t>
  </si>
  <si>
    <t>Good fit when bundled with integration and compliance know-how.</t>
  </si>
  <si>
    <t>Priority rises if security is sold as an integrated systems stack, not just camera hardware.</t>
  </si>
  <si>
    <t>Increase priority if your channels can win regulated verticals and service-heavy projects.</t>
  </si>
  <si>
    <t>Global market used in workbook: USD 141.79bn (2025/2025E aligned).</t>
  </si>
  <si>
    <t>Workbook forecast: USD 336.94bn by 2030.</t>
  </si>
  <si>
    <t>Implied CAGR in workbook: 18.9%.</t>
  </si>
  <si>
    <t>Schneider Electric, Siemens, Honeywell, Johnson Controls, ABB, Legrand.</t>
  </si>
  <si>
    <t>Energy-efficiency retrofits; IoT/BMS integration; Smart-city and premium real estate.</t>
  </si>
  <si>
    <t>Interoperability issues; Long project cycles; Retrofit complexity.</t>
  </si>
  <si>
    <t>Energy-efficiency retrofits</t>
  </si>
  <si>
    <t>Owners are upgrading controls to reduce operating cost.</t>
  </si>
  <si>
    <t>Interoperability issues</t>
  </si>
  <si>
    <t>Mixed standards increase engineering complexity.</t>
  </si>
  <si>
    <t>IoT/BMS integration</t>
  </si>
  <si>
    <t>Buildings increasingly act as managed digital assets.</t>
  </si>
  <si>
    <t>Long project cycles</t>
  </si>
  <si>
    <t>Construction timing creates long cash-conversion periods.</t>
  </si>
  <si>
    <t>Smart-city and premium real estate</t>
  </si>
  <si>
    <t>New developments specify integrated low-current systems.</t>
  </si>
  <si>
    <t>Retrofit complexity</t>
  </si>
  <si>
    <t>Legacy buildings can be costly to upgrade.</t>
  </si>
  <si>
    <t>Hospitality / office modernization</t>
  </si>
  <si>
    <t>Guest and user experience drives automation demand.</t>
  </si>
  <si>
    <t>Fragmented procurement</t>
  </si>
  <si>
    <t>Decisions may be split across developers, EPCs, and operators.</t>
  </si>
  <si>
    <t>Smart-city and building-efficiency policies support demand.</t>
  </si>
  <si>
    <t>Many vendors exist, but systems integration reduces pure price comparability.</t>
  </si>
  <si>
    <t>Construction cycles affect timing, but retrofit ROI can sustain projects.</t>
  </si>
  <si>
    <t>Owners and developers are powerful but often rely on trusted integrators.</t>
  </si>
  <si>
    <t>Users increasingly expect safer, greener, smarter environments.</t>
  </si>
  <si>
    <t>No single hardware category dominates the entire solution.</t>
  </si>
  <si>
    <t>IoT, analytics, and control platforms are core value drivers.</t>
  </si>
  <si>
    <t>Entry is possible, but interoperability and project delivery matter.</t>
  </si>
  <si>
    <t>Energy codes, safety rules, and access-control requirements help adoption.</t>
  </si>
  <si>
    <t>Basic non-smart systems remain cheaper in low-end projects.</t>
  </si>
  <si>
    <t>Efficiency and emissions pressure strongly support smart building investments.</t>
  </si>
  <si>
    <t>Strong strategic adjacency to security, AV, and low-current integration.</t>
  </si>
  <si>
    <t>Priority rises if the ecosystem can combine devices, sourcing, and integration for retrofit projects.</t>
  </si>
  <si>
    <t>Raise priority if target countries show strong energy rules, real-estate activity, and smart-city spending.</t>
  </si>
  <si>
    <t>Global market used in workbook: USD 356.70bn (2025/2025E aligned).</t>
  </si>
  <si>
    <t>Workbook forecast: USD 1010.00bn by 2030.</t>
  </si>
  <si>
    <t>Implied CAGR in workbook: 23.1%.</t>
  </si>
  <si>
    <t>Schneider Electric, Vertiv, Eaton, Dell, HPE, Huawei Digital Power, Supermicro.</t>
  </si>
  <si>
    <t>AI model training and inference; Hyperscaler and colocation capex; Sovereign data / localization.</t>
  </si>
  <si>
    <t>Power availability; Capital intensity; Procurement concentration.</t>
  </si>
  <si>
    <t>AI model training and inference</t>
  </si>
  <si>
    <t>GPU clusters drive rapid expansion in dense infrastructure.</t>
  </si>
  <si>
    <t>Power availability</t>
  </si>
  <si>
    <t>Grid constraints can delay projects.</t>
  </si>
  <si>
    <t>Hyperscaler and colocation capex</t>
  </si>
  <si>
    <t>Large operators are scaling new capacity aggressively.</t>
  </si>
  <si>
    <t>Capital intensity</t>
  </si>
  <si>
    <t>Large budgets and long lead times raise execution risk.</t>
  </si>
  <si>
    <t>Sovereign data / localization</t>
  </si>
  <si>
    <t>Governments want more local compute and storage.</t>
  </si>
  <si>
    <t>Procurement concentration</t>
  </si>
  <si>
    <t>Hyperscalers and a few major buyers dominate.</t>
  </si>
  <si>
    <t>Optical + power + cooling upgrades</t>
  </si>
  <si>
    <t>AI loads require new interconnect and facility designs.</t>
  </si>
  <si>
    <t>Technology obsolescence</t>
  </si>
  <si>
    <t>Fast architecture shifts can strand inventory.</t>
  </si>
  <si>
    <t>National AI strategies and sovereign-data policies support investment.</t>
  </si>
  <si>
    <t>Competition is real, but capability bottlenecks keep supply relatively tight.</t>
  </si>
  <si>
    <t>AI capex remains robust, but financing and power costs matter.</t>
  </si>
  <si>
    <t>Hyperscalers and colos are sophisticated, concentrated buyers.</t>
  </si>
  <si>
    <t>Demand is indirect; the main driver is enterprise and platform adoption.</t>
  </si>
  <si>
    <t>Critical chips, power equipment, and specialized cooling can be constrained.</t>
  </si>
  <si>
    <t>Very High</t>
  </si>
  <si>
    <t>AI workloads are the central demand engine.</t>
  </si>
  <si>
    <t>Capital, expertise, and power access create high barriers.</t>
  </si>
  <si>
    <t>Data sovereignty and environmental permitting affect build timing.</t>
  </si>
  <si>
    <t>There is no true substitute for AI-capable compute infrastructure.</t>
  </si>
  <si>
    <t>Energy, water, and carbon constraints shape project viability.</t>
  </si>
  <si>
    <t>Most attractive macro domain, but requires selective adjacency strategy.</t>
  </si>
  <si>
    <t>Priority rises if PlanetFiber focuses on feasible adjacencies—optics, cabling, racks, and regional sourcing support.</t>
  </si>
  <si>
    <t>Raise priority only where you can enter with supplier partnerships, not by trying to own hyperscale build-outs.</t>
  </si>
  <si>
    <t>Global market used in workbook: USD 40.80bn (2025/2025E aligned).</t>
  </si>
  <si>
    <t>Workbook forecast: USD 99.10bn by 2030.</t>
  </si>
  <si>
    <t>Implied CAGR in workbook: 19.4%.</t>
  </si>
  <si>
    <t>ABB, Fanuc, KUKA, Pudu, Keenon, SoftBank Robotics, Unitree.</t>
  </si>
  <si>
    <t>Labor shortages; Warehouse / fulfillment automation; Hospitality / healthcare service robots.</t>
  </si>
  <si>
    <t>ROI uncertainty; Safety and compliance; Integration / service burden.</t>
  </si>
  <si>
    <t>Labor shortages</t>
  </si>
  <si>
    <t>Service and logistics operators look for labor-saving tools.</t>
  </si>
  <si>
    <t>ROI uncertainty</t>
  </si>
  <si>
    <t>Customers often require pilots before scale decisions.</t>
  </si>
  <si>
    <t>Warehouse / fulfillment automation</t>
  </si>
  <si>
    <t>E-commerce and throughput needs push deployment.</t>
  </si>
  <si>
    <t>Safety and compliance</t>
  </si>
  <si>
    <t>Robots in public environments require careful validation.</t>
  </si>
  <si>
    <t>Hospitality / healthcare service robots</t>
  </si>
  <si>
    <t>Cleaning, delivery, and front-of-house use cases are growing.</t>
  </si>
  <si>
    <t>Integration / service burden</t>
  </si>
  <si>
    <t>Uptime and support capability matter.</t>
  </si>
  <si>
    <t>AI perception and autonomy</t>
  </si>
  <si>
    <t>Improved intelligence broadens viable tasks.</t>
  </si>
  <si>
    <t>Technology hype risk</t>
  </si>
  <si>
    <t>Humanoid interest can run ahead of practical adoption.</t>
  </si>
  <si>
    <t>Policy matters less than commercial viability, except in strategic manufacturing.</t>
  </si>
  <si>
    <t>The field is crowded, but many segments remain early-stage.</t>
  </si>
  <si>
    <t>Higher wages support adoption, but budgets still require proven ROI.</t>
  </si>
  <si>
    <t>Large buyers test heavily before scaling.</t>
  </si>
  <si>
    <t>Acceptance is improving, but frontline deployment still needs trust.</t>
  </si>
  <si>
    <t>Core components matter, but alternatives are improving.</t>
  </si>
  <si>
    <t>AI, sensors, and battery advances are central enablers.</t>
  </si>
  <si>
    <t>Entry is possible; scaling service quality is harder.</t>
  </si>
  <si>
    <t>Safety standards and liability rules affect go-live speed.</t>
  </si>
  <si>
    <t>Human labor remains the main substitute where wages are low.</t>
  </si>
  <si>
    <t>Sustainability is supportive but not the primary purchase driver.</t>
  </si>
  <si>
    <t>Promising growth option, but not yet the safest core priority.</t>
  </si>
  <si>
    <t>Priority rises if the ecosystem can build a focused, serviceable robotics niche rather than chasing broad hype.</t>
  </si>
  <si>
    <t>Increase priority after pilots prove ROI in one or two repeatable verticals.</t>
  </si>
  <si>
    <t>Global market used in workbook: USD 57.24bn (2025/2025E aligned).</t>
  </si>
  <si>
    <t>Workbook forecast: USD 78.48bn by 2030.</t>
  </si>
  <si>
    <t>Implied CAGR in workbook: 6.5%.</t>
  </si>
  <si>
    <t>Samsung, LG, Leyard/Planar, Barco, Sharp/NEC, PPDS/Philips.</t>
  </si>
  <si>
    <t>Retail and DOOH modernization; Transport and public information systems; Control rooms and monitoring.</t>
  </si>
  <si>
    <t>Capex cyclicality; Panel price swings; Commodity competition.</t>
  </si>
  <si>
    <t>Retail and DOOH modernization</t>
  </si>
  <si>
    <t>Brands keep investing in visual engagement.</t>
  </si>
  <si>
    <t>Capex cyclicality</t>
  </si>
  <si>
    <t>Projects can be deferred quickly during downturns.</t>
  </si>
  <si>
    <t>Transport and public information systems</t>
  </si>
  <si>
    <t>Hubs and public spaces need updated displays.</t>
  </si>
  <si>
    <t>Panel price swings</t>
  </si>
  <si>
    <t>Margins move with component pricing.</t>
  </si>
  <si>
    <t>Control rooms and monitoring</t>
  </si>
  <si>
    <t>Operations centers require reliable visualization.</t>
  </si>
  <si>
    <t>Commodity competition</t>
  </si>
  <si>
    <t>Many projects are won on price.</t>
  </si>
  <si>
    <t>Hybrid workplace collaboration</t>
  </si>
  <si>
    <t>Meeting-room and presentation systems remain relevant.</t>
  </si>
  <si>
    <t>Limited differentiation</t>
  </si>
  <si>
    <t>Hardware-only offers are easily substituted.</t>
  </si>
  <si>
    <t>Public tenders matter in some segments, but politics is not the main driver.</t>
  </si>
  <si>
    <t>Global brands and local assemblers compete heavily.</t>
  </si>
  <si>
    <t>Branding and project budgets are cyclical.</t>
  </si>
  <si>
    <t>Many alternatives exist for standard display projects.</t>
  </si>
  <si>
    <t>Demand depends on customer engagement and workplace experience needs.</t>
  </si>
  <si>
    <t>Panel ecosystem concentration matters, but channels can switch brands.</t>
  </si>
  <si>
    <t>Display quality, efficiency, and collaboration software help refresh cycles.</t>
  </si>
  <si>
    <t>Entry is feasible through distribution and integration.</t>
  </si>
  <si>
    <t>Compliance is manageable versus security or telecom.</t>
  </si>
  <si>
    <t>Alternative communication channels can reduce spend on hardware.</t>
  </si>
  <si>
    <t>Energy efficiency and recycling requirements are becoming more relevant.</t>
  </si>
  <si>
    <t>Low-Medium</t>
  </si>
  <si>
    <t>Useful adjacency, but lower strategic priority than core infrastructure domains.</t>
  </si>
  <si>
    <t>Priority rises when displays are attached to larger security, smart-building, or control-room projects.</t>
  </si>
  <si>
    <t>Keep selective unless you can win bundled projects with better solution economics.</t>
  </si>
  <si>
    <t>Region</t>
  </si>
  <si>
    <t>Countries Covered</t>
  </si>
  <si>
    <t>Market Size 2024→2030</t>
  </si>
  <si>
    <t>Source</t>
  </si>
  <si>
    <t>URL</t>
  </si>
  <si>
    <t>CIS</t>
  </si>
  <si>
    <t>Armenia; Georgia; Azerbaijan</t>
  </si>
  <si>
    <t>$1.15B → $1.76B</t>
  </si>
  <si>
    <t>7.4%</t>
  </si>
  <si>
    <t>EU-linked digital agendas and public modernization support infrastructure demand, but geopolitical friction keeps procurement decisions sensitive.</t>
  </si>
  <si>
    <t>Small economies, but steady broadband and public-sector connectivity investment; Azerbaijan adds oil-funded diversification capacity.</t>
  </si>
  <si>
    <t>High internet adoption and urban concentration support fiber, security and smart-building demand, while rural gaps still need investment.</t>
  </si>
  <si>
    <t>Legacy infrastructure is being modernized; FTTH, 4G/5G upgrades and network resilience remain priority areas.</t>
  </si>
  <si>
    <t>Rules are becoming more transparent, but standards alignment differs by country and can affect equipment approval and tender design.</t>
  </si>
  <si>
    <t>Seismic risk and mountain terrain raise resilience requirements and favor reliable, low-maintenance systems.</t>
  </si>
  <si>
    <t>World Bank / ITU / country digital strategy sources</t>
  </si>
  <si>
    <t>Central Asia</t>
  </si>
  <si>
    <t>Kazakhstan; Uzbekistan; Kyrgyzstan; Tajikistan; Turkmenistan; Afghanistan</t>
  </si>
  <si>
    <t>$3.27B → $4.79B</t>
  </si>
  <si>
    <t>6.6%</t>
  </si>
  <si>
    <t>Policy openness varies sharply: Kazakhstan and Uzbekistan are more investable, while sanctions, isolation, or instability constrain others.</t>
  </si>
  <si>
    <t>Resource-led and remittance-linked economies create uneven spending power, but digital infrastructure remains strategically important.</t>
  </si>
  <si>
    <t>Large rural populations and cross-border migration support connectivity demand; affordability remains critical outside major cities.</t>
  </si>
  <si>
    <t>Kazakhstan and Uzbekistan lead in fiber and mobile modernization; difficult terrain sustains demand for resilient transmission solutions.</t>
  </si>
  <si>
    <t>EAEU/customs frameworks help some markets; others remain complex for imports, certifications and public procurement.</t>
  </si>
  <si>
    <t>Extreme temperatures, water scarcity and long distances make ruggedized products and efficient systems more relevant.</t>
  </si>
  <si>
    <t>World Bank / ITU / GSMA</t>
  </si>
  <si>
    <t>Latin America</t>
  </si>
  <si>
    <t>Brazil; Mexico; Chile; Colombia; Peru; Dominican Republic</t>
  </si>
  <si>
    <t>$31.99B → $45.73B</t>
  </si>
  <si>
    <t>6.1%</t>
  </si>
  <si>
    <t>Generally stable regulatory direction, though U.S.-China tensions and local procurement preferences can shape vendor acceptance.</t>
  </si>
  <si>
    <t>Large addressable markets, nearshoring, enterprise digitalization and urban infrastructure spending support broad demand.</t>
  </si>
  <si>
    <t>High urbanization and expanding middle-income demand support residential fiber, security and commercial systems.</t>
  </si>
  <si>
    <t>5G, cloud, FTTH and industrial networking are advancing, especially in Brazil, Mexico and Chile.</t>
  </si>
  <si>
    <t>Telecom and data-protection frameworks are more mature than many emerging markets, improving project visibility but raising compliance needs.</t>
  </si>
  <si>
    <t>Climate resilience matters for hurricanes, floods, droughts and remote geographies, especially for outdoor and utility-linked infrastructure.</t>
  </si>
  <si>
    <t>https://www.gsma.com/solutions-and-impact/connectivity-for-good/mobile-economy/the-mobile-economy-2025/</t>
  </si>
  <si>
    <t>Southeast Asia</t>
  </si>
  <si>
    <t>Indonesia; Vietnam; Malaysia; Thailand; Philippines; Singapore; Cambodia</t>
  </si>
  <si>
    <t>$24.78B → $37.05B</t>
  </si>
  <si>
    <t>6.9%</t>
  </si>
  <si>
    <t>ASEAN integration helps, but vendor policy and foreign-investment rules vary widely by country.</t>
  </si>
  <si>
    <t>Fast growth, manufacturing relocation and digital platform expansion are pushing sustained infrastructure investment.</t>
  </si>
  <si>
    <t>Young, mobile-first populations and dense cities support strong demand for connectivity, smart systems and commercial electronics.</t>
  </si>
  <si>
    <t>Singapore leads in data centers and digital maturity; Vietnam and Indonesia are strong for manufacturing-linked networking and infrastructure build-out.</t>
  </si>
  <si>
    <t>Data-localization and foreign ownership rules are uneven; compliance planning matters market by market.</t>
  </si>
  <si>
    <t>Tropical climate, humidity, flood risk and island geographies increase the value of durable and energy-efficient solutions.</t>
  </si>
  <si>
    <t>https://www.gsma.com/solutions-and-impact/connectivity-for-good/mobile-economy/the-mobile-economy-2026/</t>
  </si>
  <si>
    <t>Africa</t>
  </si>
  <si>
    <t>South Africa; Egypt; Kenya; Nigeria; Morocco; Ghana</t>
  </si>
  <si>
    <t>$7.56B → $11.47B</t>
  </si>
  <si>
    <t>7.2%</t>
  </si>
  <si>
    <t>Governments are pushing digital inclusion, but policy consistency and tender execution vary significantly by market.</t>
  </si>
  <si>
    <t>Fast-growth economies and infrastructure gaps create opportunity, though FX risk and budget execution can slow projects.</t>
  </si>
  <si>
    <t>Young populations, mobile-first behavior and urbanization support strong demand for telecom, security and selected smart systems.</t>
  </si>
  <si>
    <t>Backbone, mobile broadband, payment infrastructure and enterprise digitization are expanding; data center growth is emerging in stronger hubs.</t>
  </si>
  <si>
    <t>Licensing, local-content rules and customs procedures require careful planning; public-sector deals may be slower but strategic.</t>
  </si>
  <si>
    <t>Power reliability, heat and climate resilience are important product-selection factors, especially for outdoor and edge systems.</t>
  </si>
  <si>
    <t>GSMA / World Bank / ITU</t>
  </si>
  <si>
    <t>Russia</t>
  </si>
  <si>
    <t>Russia Federation</t>
  </si>
  <si>
    <t>$8.5B → $11.2B</t>
  </si>
  <si>
    <t>4.7%</t>
  </si>
  <si>
    <t>Sanctions and import-substitution policies strongly shape supplier access, channel structure and technology choices.</t>
  </si>
  <si>
    <t>Large strategic market with state-backed infrastructure priorities, but FX and sanctions risk complicate execution.</t>
  </si>
  <si>
    <t>High technical literacy and strong digital-service use sustain demand for networking, security and sovereign infrastructure solutions.</t>
  </si>
  <si>
    <t>Upgrades continue, but vendor mix is constrained and domestic/non-Western supply routes matter more.</t>
  </si>
  <si>
    <t>Compliance, localization and procurement rules are highly specific; channel strategy must reflect sanctions reality.</t>
  </si>
  <si>
    <t>Harsh climate, distance and energy conditions increase demand for robust, serviceable infrastructure.</t>
  </si>
  <si>
    <t>World Bank / ITU / national policy context</t>
  </si>
  <si>
    <t>https://data.worldbank.org/indicator/NY.GDP.MKTP.CD</t>
  </si>
  <si>
    <t>Country</t>
  </si>
  <si>
    <t>Market Size Level</t>
  </si>
  <si>
    <t>Growth Outlook</t>
  </si>
  <si>
    <t>Armenia</t>
  </si>
  <si>
    <t>Stable starter market; good fit for telecom, security and smart-building solutions.</t>
  </si>
  <si>
    <t>World Bank / ITU</t>
  </si>
  <si>
    <t>Georgia</t>
  </si>
  <si>
    <t>Open regional gateway with steady infrastructure upgrade demand.</t>
  </si>
  <si>
    <t>Azerbaijan</t>
  </si>
  <si>
    <t>Energy-backed modernization and stronger public infrastructure spending than peer Caucasus markets.</t>
  </si>
  <si>
    <t>Kazakhstan</t>
  </si>
  <si>
    <t>Largest and most investable Central Asian market; strong fit across telecom, networking and datacenter-adjacent infrastructure.</t>
  </si>
  <si>
    <t>Uzbekistan</t>
  </si>
  <si>
    <t>Fast reforming market with strong broadband and enterprise infrastructure upside.</t>
  </si>
  <si>
    <t>Kyrgyzstan</t>
  </si>
  <si>
    <t>Smaller market but relevant for selective telecom and security projects.</t>
  </si>
  <si>
    <t>Tajikistan</t>
  </si>
  <si>
    <t>Opportunity exists, but affordability and project scale are limited.</t>
  </si>
  <si>
    <t>Turkmenistan</t>
  </si>
  <si>
    <t>Restricted market access limits practical prioritization despite infrastructure need.</t>
  </si>
  <si>
    <t>Afghanistan</t>
  </si>
  <si>
    <t>High need but severe execution risk; only selective, controlled opportunities.</t>
  </si>
  <si>
    <t>Brazil</t>
  </si>
  <si>
    <t>Largest LATAM market; strong fit across all major infrastructure and smart-system categories.</t>
  </si>
  <si>
    <t>GSMA / World Bank</t>
  </si>
  <si>
    <t>Mexico</t>
  </si>
  <si>
    <t>Nearshoring and manufacturing digitalization make it attractive for networking, security and datacenter-linked demand.</t>
  </si>
  <si>
    <t>Chile</t>
  </si>
  <si>
    <t>Smaller but high-quality market with strong digital maturity and infrastructure standards.</t>
  </si>
  <si>
    <t>Colombia</t>
  </si>
  <si>
    <t>Balanced regional market with ongoing enterprise and public infrastructure modernization.</t>
  </si>
  <si>
    <t>Peru</t>
  </si>
  <si>
    <t>Moderate-size market with selective telecom and security potential.</t>
  </si>
  <si>
    <t>Dominican Republic</t>
  </si>
  <si>
    <t>Smaller market, but tourism, real estate and connectivity upgrades support focused plays.</t>
  </si>
  <si>
    <t>Indonesia</t>
  </si>
  <si>
    <t>Large-scale, mobile-first market with broad telecom, networking and security demand.</t>
  </si>
  <si>
    <t>GSMA / ITU</t>
  </si>
  <si>
    <t>Vietnam</t>
  </si>
  <si>
    <t>Manufacturing-driven growth and infrastructure upgrades make it highly attractive.</t>
  </si>
  <si>
    <t>Malaysia</t>
  </si>
  <si>
    <t>Balanced market with solid enterprise networking and smart-building demand.</t>
  </si>
  <si>
    <t>Thailand</t>
  </si>
  <si>
    <t>Good fit for networking, security and commercial systems in urban and industrial areas.</t>
  </si>
  <si>
    <t>Philippines</t>
  </si>
  <si>
    <t>Fast digital demand growth, but geography adds complexity; telecom and security remain attractive.</t>
  </si>
  <si>
    <t>Singapore</t>
  </si>
  <si>
    <t>Small but premium market with strongest datacenter and advanced digital infrastructure profile.</t>
  </si>
  <si>
    <t>JLL / ITU</t>
  </si>
  <si>
    <t>Cambodia</t>
  </si>
  <si>
    <t>Early-stage growth market suited to selective telecom and security projects.</t>
  </si>
  <si>
    <t>South Africa</t>
  </si>
  <si>
    <t>Most diversified African market; good fit for networking, security and commercial systems.</t>
  </si>
  <si>
    <t>GSMA Africa / ITU</t>
  </si>
  <si>
    <t>Egypt</t>
  </si>
  <si>
    <t>Regional bridge market with strong infrastructure logic and growing datacenter interest.</t>
  </si>
  <si>
    <t>Kenya</t>
  </si>
  <si>
    <t>East African digital leader; strong telecom, security and enterprise-networking potential.</t>
  </si>
  <si>
    <t>Nigeria</t>
  </si>
  <si>
    <t>Largest population market in Africa; very attractive but operationally complex.</t>
  </si>
  <si>
    <t>Morocco</t>
  </si>
  <si>
    <t>Stable North African gateway with good fit for telecom, networking and security.</t>
  </si>
  <si>
    <t>Ghana</t>
  </si>
  <si>
    <t>Smaller but improving West African market with selective infrastructure and security opportunity.</t>
  </si>
  <si>
    <t>Large strategic market, but sanctions and compliance constraints materially affect feasibility.</t>
  </si>
  <si>
    <t>Industry Code</t>
  </si>
  <si>
    <t>Demand Level</t>
  </si>
  <si>
    <t>Short Logic</t>
  </si>
  <si>
    <t>Selective fiber and access-network expansion supports demand.</t>
  </si>
  <si>
    <t>Steady network refresh and connectivity expansion support demand.</t>
  </si>
  <si>
    <t>Security spending, site protection and public/private monitoring needs are strong.</t>
  </si>
  <si>
    <t>Smart Building &amp; IoT</t>
  </si>
  <si>
    <t>Smart-building demand is growing, mainly in commercial and premium projects.</t>
  </si>
  <si>
    <t>Datacenter demand is still early-stage or constrained by power / market scale.</t>
  </si>
  <si>
    <t>Robotics remains early-stage and not yet a broad purchasing priority.</t>
  </si>
  <si>
    <t>Commercial display and workplace-system demand is growing selectively.</t>
  </si>
  <si>
    <t>Strong broadband / mobile infrastructure need and upgrade cycle.</t>
  </si>
  <si>
    <t>Security demand is present across buildings and infrastructure, but project scale is uneven.</t>
  </si>
  <si>
    <t>Enterprise digitization and traffic growth support switching, routing and LAN demand.</t>
  </si>
  <si>
    <t>Adoption remains selective and concentrated in higher-end developments.</t>
  </si>
  <si>
    <t>Emerging demand exists through enterprise, colocation or regional hub development.</t>
  </si>
  <si>
    <t>Need exists, but market scale or execution conditions limit demand.</t>
  </si>
  <si>
    <t>Networking demand exists, but budgets and project depth stay limited.</t>
  </si>
  <si>
    <t>Commercial electronics demand is present, but not yet a primary budget area.</t>
  </si>
  <si>
    <t>Security demand exists, but budgets and integrated projects remain limited.</t>
  </si>
  <si>
    <t>Real-estate modernization and connected-building demand support smart systems.</t>
  </si>
  <si>
    <t>Cloud, AI and enterprise compute growth create strong data-center infrastructure demand.</t>
  </si>
  <si>
    <t>Retail, enterprise and public-space modernization support strong AV/display demand.</t>
  </si>
  <si>
    <t>Robotics interest is growing, but adoption is still use-case specific.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</si>
</sst>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;[Red]\(#,##0.0\);\-"/>
  </numFmts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sz val="11"/>
      <color rgb="FF666666"/>
      <name val="Calibri"/>
    </font>
    <font>
      <sz val="11"/>
      <color rgb="FFC65911"/>
      <name val="Calibri"/>
    </font>
    <font>
      <sz val="11"/>
      <color rgb="FF7030A0"/>
      <name val="Calibri"/>
    </font>
    <font>
      <b/>
      <sz val="11"/>
      <color rgb="FF008080"/>
      <name val="Calibri"/>
    </font>
    <font>
      <b/>
      <sz val="11"/>
      <name val="Calibri"/>
    </font>
    <font>
      <b/>
      <sz val="11"/>
      <color rgb="FFC65911"/>
      <name val="Calibri"/>
    </font>
    <font>
      <sz val="12"/>
      <color theme="10"/>
      <name val="Calibri"/>
      <family val="2"/>
      <scheme val="minor"/>
    </font>
    <font>
      <sz val="11"/>
      <color rgb="FF9E480E"/>
      <name val="Calibri"/>
    </font>
    <font>
      <u/>
      <sz val="11"/>
      <color rgb="FF9E480E"/>
      <name val="Calibri"/>
    </font>
    <font>
      <b/>
      <sz val="11"/>
      <color rgb="FFFFFFFF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DE7F6"/>
      </patternFill>
    </fill>
    <fill>
      <patternFill patternType="solid">
        <fgColor rgb="FFD9EAF0"/>
      </patternFill>
    </fill>
    <fill>
      <patternFill patternType="solid">
        <fgColor rgb="FFFDE9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EFDA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3" fillId="0" borderId="0"/>
  </cellStyleXfs>
  <cellXfs count="5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0" fillId="0" borderId="1" xfId="0" applyBorder="1"/>
    <xf numFmtId="0" fontId="5" fillId="0" borderId="1" xfId="0" applyFont="1" applyBorder="1"/>
    <xf numFmtId="0" fontId="6" fillId="4" borderId="1" xfId="0" applyFont="1" applyFill="1" applyBorder="1"/>
    <xf numFmtId="0" fontId="7" fillId="5" borderId="1" xfId="0" applyFont="1" applyFill="1" applyBorder="1"/>
    <xf numFmtId="0" fontId="8" fillId="6" borderId="1" xfId="0" applyFont="1" applyFill="1" applyBorder="1"/>
    <xf numFmtId="0" fontId="9" fillId="7" borderId="1" xfId="0" applyFont="1" applyFill="1" applyBorder="1"/>
    <xf numFmtId="0" fontId="10" fillId="8" borderId="1" xfId="0" applyFont="1" applyFill="1" applyBorder="1"/>
    <xf numFmtId="0" fontId="7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1" fontId="9" fillId="7" borderId="1" xfId="0" applyNumberFormat="1" applyFont="1" applyFill="1" applyBorder="1" applyAlignment="1">
      <alignment wrapText="1"/>
    </xf>
    <xf numFmtId="1" fontId="5" fillId="0" borderId="1" xfId="0" applyNumberFormat="1" applyFont="1" applyBorder="1" applyAlignment="1">
      <alignment wrapText="1"/>
    </xf>
    <xf numFmtId="164" fontId="9" fillId="7" borderId="1" xfId="0" applyNumberFormat="1" applyFont="1" applyFill="1" applyBorder="1"/>
    <xf numFmtId="164" fontId="10" fillId="8" borderId="1" xfId="0" applyNumberFormat="1" applyFont="1" applyFill="1" applyBorder="1"/>
    <xf numFmtId="0" fontId="6" fillId="4" borderId="1" xfId="0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165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11" fillId="8" borderId="1" xfId="0" applyFont="1" applyFill="1" applyBorder="1"/>
    <xf numFmtId="164" fontId="11" fillId="8" borderId="1" xfId="0" applyNumberFormat="1" applyFont="1" applyFill="1" applyBorder="1"/>
    <xf numFmtId="0" fontId="11" fillId="5" borderId="1" xfId="0" applyFont="1" applyFill="1" applyBorder="1"/>
    <xf numFmtId="164" fontId="0" fillId="0" borderId="1" xfId="0" applyNumberFormat="1" applyBorder="1"/>
    <xf numFmtId="1" fontId="0" fillId="0" borderId="1" xfId="0" applyNumberFormat="1" applyBorder="1"/>
    <xf numFmtId="0" fontId="4" fillId="3" borderId="1" xfId="0" applyFont="1" applyFill="1" applyBorder="1" applyAlignment="1">
      <alignment wrapText="1"/>
    </xf>
    <xf numFmtId="0" fontId="12" fillId="6" borderId="1" xfId="0" applyFont="1" applyFill="1" applyBorder="1"/>
    <xf numFmtId="0" fontId="8" fillId="6" borderId="1" xfId="0" applyFont="1" applyFill="1" applyBorder="1" applyAlignment="1">
      <alignment wrapText="1"/>
    </xf>
    <xf numFmtId="0" fontId="14" fillId="9" borderId="1" xfId="0" applyFont="1" applyFill="1" applyBorder="1"/>
    <xf numFmtId="0" fontId="0" fillId="9" borderId="1" xfId="0" applyFill="1" applyBorder="1"/>
    <xf numFmtId="0" fontId="13" fillId="0" borderId="0" xfId="1"/>
    <xf numFmtId="0" fontId="15" fillId="9" borderId="0" xfId="1" applyFont="1" applyFill="1"/>
    <xf numFmtId="1" fontId="9" fillId="7" borderId="1" xfId="0" applyNumberFormat="1" applyFont="1" applyFill="1" applyBorder="1"/>
    <xf numFmtId="0" fontId="0" fillId="0" borderId="0" xfId="0" applyAlignment="1">
      <alignment vertical="top" wrapText="1"/>
    </xf>
    <xf numFmtId="0" fontId="17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5" fillId="9" borderId="0" xfId="1" applyFont="1" applyFill="1" applyAlignment="1">
      <alignment vertical="top" wrapText="1"/>
    </xf>
    <xf numFmtId="0" fontId="16" fillId="10" borderId="0" xfId="0" applyFont="1" applyFill="1" applyAlignment="1">
      <alignment horizontal="center" vertical="center" wrapText="1"/>
    </xf>
    <xf numFmtId="0" fontId="0" fillId="11" borderId="0" xfId="0" applyFill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top" wrapText="1"/>
    </xf>
  </cellXfs>
  <cellStyles count="2">
    <cellStyle name="Hyperlink" xfId="1" xr:uid="{00000000-0005-0000-0000-000001000000}"/>
    <cellStyle name="Normal" xfId="0" builtinId="0"/>
  </cellStyles>
  <dxfs count="1"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Dominance Score by Industry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Ranking_Summary!$B$7:$B$13</c:f>
              <c:strCache>
                <c:ptCount val="7"/>
                <c:pt idx="0">
                  <c:v>Data Centre &amp; AI Infrastructure</c:v>
                </c:pt>
                <c:pt idx="1">
                  <c:v>Smart Building &amp; IoT Systems</c:v>
                </c:pt>
                <c:pt idx="2">
                  <c:v>Robotics &amp; Intelligent Devices</c:v>
                </c:pt>
                <c:pt idx="3">
                  <c:v>Networking &amp; Data Systems</c:v>
                </c:pt>
                <c:pt idx="4">
                  <c:v>Security &amp; Surveillance</c:v>
                </c:pt>
                <c:pt idx="5">
                  <c:v>Telecommunications Infrastructure</c:v>
                </c:pt>
                <c:pt idx="6">
                  <c:v>Commercial Electronics &amp; Visual Systems</c:v>
                </c:pt>
              </c:strCache>
            </c:strRef>
          </c:cat>
          <c:val>
            <c:numRef>
              <c:f>Ranking_Summary!$C$7:$C$13</c:f>
              <c:numCache>
                <c:formatCode>0.0%</c:formatCode>
                <c:ptCount val="7"/>
                <c:pt idx="0">
                  <c:v>0.872</c:v>
                </c:pt>
                <c:pt idx="1">
                  <c:v>0.63300000000000001</c:v>
                </c:pt>
                <c:pt idx="2">
                  <c:v>0.495</c:v>
                </c:pt>
                <c:pt idx="3">
                  <c:v>0.48</c:v>
                </c:pt>
                <c:pt idx="4">
                  <c:v>0.44600000000000001</c:v>
                </c:pt>
                <c:pt idx="5">
                  <c:v>0.43099999999999999</c:v>
                </c:pt>
                <c:pt idx="6">
                  <c:v>0.36499999999999999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3-4207-8834-07F61FA2FF47}"/>
            </c:ext>
          </c:extLst>
        </c:ser>
        <c:dLbls>
          <c:showLegendKey val="1"/>
          <c:showVal val="0"/>
          <c:showCatName val="1"/>
          <c:showSerName val="1"/>
          <c:showPercent val="1"/>
          <c:showBubbleSize val="1"/>
        </c:dLbls>
        <c:gapWidth val="8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Dominance 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Industry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showGridLines="0" workbookViewId="0">
      <selection sqref="A1:H2"/>
    </sheetView>
  </sheetViews>
  <sheetFormatPr defaultRowHeight="14.4" x14ac:dyDescent="0.3"/>
  <cols>
    <col min="1" max="1" width="28" customWidth="1"/>
    <col min="2" max="2" width="72" customWidth="1"/>
    <col min="3" max="8" width="22" customWidth="1"/>
  </cols>
  <sheetData>
    <row r="1" spans="1:8" x14ac:dyDescent="0.3">
      <c r="A1" s="51" t="s">
        <v>0</v>
      </c>
      <c r="B1" s="50"/>
      <c r="C1" s="50"/>
      <c r="D1" s="50"/>
      <c r="E1" s="50"/>
      <c r="F1" s="50"/>
      <c r="G1" s="50"/>
      <c r="H1" s="50"/>
    </row>
    <row r="2" spans="1:8" ht="20.399999999999999" customHeight="1" x14ac:dyDescent="0.3">
      <c r="A2" s="50"/>
      <c r="B2" s="50"/>
      <c r="C2" s="50"/>
      <c r="D2" s="50"/>
      <c r="E2" s="50"/>
      <c r="F2" s="50"/>
      <c r="G2" s="50"/>
      <c r="H2" s="50"/>
    </row>
    <row r="4" spans="1:8" ht="15.6" customHeight="1" x14ac:dyDescent="0.3">
      <c r="A4" s="1" t="s">
        <v>1</v>
      </c>
    </row>
    <row r="5" spans="1:8" x14ac:dyDescent="0.3">
      <c r="A5" s="49" t="s">
        <v>2</v>
      </c>
      <c r="B5" s="50"/>
      <c r="C5" s="50"/>
      <c r="D5" s="50"/>
      <c r="E5" s="50"/>
      <c r="F5" s="50"/>
      <c r="G5" s="50"/>
      <c r="H5" s="50"/>
    </row>
    <row r="6" spans="1:8" x14ac:dyDescent="0.3">
      <c r="A6" s="50"/>
      <c r="B6" s="50"/>
      <c r="C6" s="50"/>
      <c r="D6" s="50"/>
      <c r="E6" s="50"/>
      <c r="F6" s="50"/>
      <c r="G6" s="50"/>
      <c r="H6" s="50"/>
    </row>
    <row r="8" spans="1:8" ht="15.6" customHeight="1" x14ac:dyDescent="0.3">
      <c r="A8" s="1" t="s">
        <v>3</v>
      </c>
    </row>
    <row r="9" spans="1:8" x14ac:dyDescent="0.3">
      <c r="A9" s="49" t="s">
        <v>4</v>
      </c>
      <c r="B9" s="50"/>
      <c r="C9" s="50"/>
      <c r="D9" s="50"/>
      <c r="E9" s="50"/>
      <c r="F9" s="50"/>
      <c r="G9" s="50"/>
      <c r="H9" s="50"/>
    </row>
    <row r="10" spans="1:8" x14ac:dyDescent="0.3">
      <c r="A10" s="49" t="s">
        <v>5</v>
      </c>
      <c r="B10" s="50"/>
      <c r="C10" s="50"/>
      <c r="D10" s="50"/>
      <c r="E10" s="50"/>
      <c r="F10" s="50"/>
      <c r="G10" s="50"/>
      <c r="H10" s="50"/>
    </row>
    <row r="11" spans="1:8" x14ac:dyDescent="0.3">
      <c r="A11" s="49" t="s">
        <v>6</v>
      </c>
      <c r="B11" s="50"/>
      <c r="C11" s="50"/>
      <c r="D11" s="50"/>
      <c r="E11" s="50"/>
      <c r="F11" s="50"/>
      <c r="G11" s="50"/>
      <c r="H11" s="50"/>
    </row>
    <row r="12" spans="1:8" x14ac:dyDescent="0.3">
      <c r="A12" s="49" t="s">
        <v>7</v>
      </c>
      <c r="B12" s="50"/>
      <c r="C12" s="50"/>
      <c r="D12" s="50"/>
      <c r="E12" s="50"/>
      <c r="F12" s="50"/>
      <c r="G12" s="50"/>
      <c r="H12" s="50"/>
    </row>
    <row r="13" spans="1:8" x14ac:dyDescent="0.3">
      <c r="A13" s="49" t="s">
        <v>8</v>
      </c>
      <c r="B13" s="50"/>
      <c r="C13" s="50"/>
      <c r="D13" s="50"/>
      <c r="E13" s="50"/>
      <c r="F13" s="50"/>
      <c r="G13" s="50"/>
      <c r="H13" s="50"/>
    </row>
    <row r="14" spans="1:8" x14ac:dyDescent="0.3">
      <c r="A14" s="49" t="s">
        <v>9</v>
      </c>
      <c r="B14" s="50"/>
      <c r="C14" s="50"/>
      <c r="D14" s="50"/>
      <c r="E14" s="50"/>
      <c r="F14" s="50"/>
      <c r="G14" s="50"/>
      <c r="H14" s="50"/>
    </row>
    <row r="16" spans="1:8" ht="15.6" customHeight="1" x14ac:dyDescent="0.3">
      <c r="A16" s="1" t="s">
        <v>10</v>
      </c>
    </row>
    <row r="17" spans="1:2" x14ac:dyDescent="0.3">
      <c r="A17" s="2" t="s">
        <v>11</v>
      </c>
      <c r="B17" s="2" t="s">
        <v>12</v>
      </c>
    </row>
    <row r="18" spans="1:2" x14ac:dyDescent="0.3">
      <c r="A18" s="3" t="s">
        <v>13</v>
      </c>
      <c r="B18" s="4" t="s">
        <v>14</v>
      </c>
    </row>
    <row r="19" spans="1:2" x14ac:dyDescent="0.3">
      <c r="A19" s="5" t="s">
        <v>15</v>
      </c>
      <c r="B19" s="4" t="s">
        <v>16</v>
      </c>
    </row>
    <row r="20" spans="1:2" x14ac:dyDescent="0.3">
      <c r="A20" s="6" t="s">
        <v>17</v>
      </c>
      <c r="B20" s="4" t="s">
        <v>18</v>
      </c>
    </row>
    <row r="21" spans="1:2" x14ac:dyDescent="0.3">
      <c r="A21" s="7" t="s">
        <v>19</v>
      </c>
      <c r="B21" s="4" t="s">
        <v>20</v>
      </c>
    </row>
    <row r="22" spans="1:2" x14ac:dyDescent="0.3">
      <c r="A22" s="8" t="s">
        <v>21</v>
      </c>
      <c r="B22" s="4" t="s">
        <v>22</v>
      </c>
    </row>
    <row r="23" spans="1:2" x14ac:dyDescent="0.3">
      <c r="A23" s="9" t="s">
        <v>23</v>
      </c>
      <c r="B23" s="4" t="s">
        <v>24</v>
      </c>
    </row>
    <row r="24" spans="1:2" x14ac:dyDescent="0.3">
      <c r="A24" s="10" t="s">
        <v>25</v>
      </c>
      <c r="B24" s="4" t="s">
        <v>26</v>
      </c>
    </row>
    <row r="25" spans="1:2" x14ac:dyDescent="0.3">
      <c r="A25" s="36" t="s">
        <v>27</v>
      </c>
      <c r="B25" s="37" t="s">
        <v>28</v>
      </c>
    </row>
    <row r="27" spans="1:2" x14ac:dyDescent="0.3">
      <c r="A27" s="42" t="s">
        <v>29</v>
      </c>
      <c r="B27" s="41"/>
    </row>
    <row r="28" spans="1:2" ht="28.8" x14ac:dyDescent="0.3">
      <c r="A28" s="41" t="s">
        <v>30</v>
      </c>
      <c r="B28" s="41" t="s">
        <v>31</v>
      </c>
    </row>
    <row r="29" spans="1:2" x14ac:dyDescent="0.3">
      <c r="A29" s="41" t="s">
        <v>32</v>
      </c>
      <c r="B29" s="41" t="s">
        <v>33</v>
      </c>
    </row>
    <row r="30" spans="1:2" x14ac:dyDescent="0.3">
      <c r="A30" s="41" t="s">
        <v>34</v>
      </c>
      <c r="B30" s="41" t="s">
        <v>35</v>
      </c>
    </row>
  </sheetData>
  <mergeCells count="8">
    <mergeCell ref="A1:H2"/>
    <mergeCell ref="A5:H6"/>
    <mergeCell ref="A9:H9"/>
    <mergeCell ref="A12:H12"/>
    <mergeCell ref="A10:H10"/>
    <mergeCell ref="A13:H13"/>
    <mergeCell ref="A14:H14"/>
    <mergeCell ref="A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topLeftCell="A7" workbookViewId="0">
      <selection sqref="A1:F2"/>
    </sheetView>
  </sheetViews>
  <sheetFormatPr defaultRowHeight="14.4" x14ac:dyDescent="0.3"/>
  <cols>
    <col min="1" max="1" width="10" customWidth="1"/>
    <col min="2" max="2" width="34" customWidth="1"/>
    <col min="3" max="3" width="44" customWidth="1"/>
    <col min="4" max="4" width="36" customWidth="1"/>
    <col min="5" max="5" width="28" customWidth="1"/>
    <col min="6" max="6" width="36" customWidth="1"/>
  </cols>
  <sheetData>
    <row r="1" spans="1:6" x14ac:dyDescent="0.3">
      <c r="A1" s="51" t="s">
        <v>36</v>
      </c>
      <c r="B1" s="50"/>
      <c r="C1" s="50"/>
      <c r="D1" s="50"/>
      <c r="E1" s="50"/>
      <c r="F1" s="50"/>
    </row>
    <row r="2" spans="1:6" x14ac:dyDescent="0.3">
      <c r="A2" s="50"/>
      <c r="B2" s="50"/>
      <c r="C2" s="50"/>
      <c r="D2" s="50"/>
      <c r="E2" s="50"/>
      <c r="F2" s="50"/>
    </row>
    <row r="4" spans="1:6" x14ac:dyDescent="0.3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</row>
    <row r="5" spans="1:6" ht="52.05" customHeight="1" x14ac:dyDescent="0.3">
      <c r="A5" s="11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</row>
    <row r="6" spans="1:6" ht="52.05" customHeight="1" x14ac:dyDescent="0.3">
      <c r="A6" s="11" t="s">
        <v>49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</row>
    <row r="7" spans="1:6" ht="52.05" customHeight="1" x14ac:dyDescent="0.3">
      <c r="A7" s="11" t="s">
        <v>55</v>
      </c>
      <c r="B7" s="12" t="s">
        <v>56</v>
      </c>
      <c r="C7" s="12" t="s">
        <v>57</v>
      </c>
      <c r="D7" s="12" t="s">
        <v>58</v>
      </c>
      <c r="E7" s="12" t="s">
        <v>59</v>
      </c>
      <c r="F7" s="12" t="s">
        <v>60</v>
      </c>
    </row>
    <row r="8" spans="1:6" ht="52.05" customHeight="1" x14ac:dyDescent="0.3">
      <c r="A8" s="11" t="s">
        <v>61</v>
      </c>
      <c r="B8" s="12" t="s">
        <v>62</v>
      </c>
      <c r="C8" s="12" t="s">
        <v>63</v>
      </c>
      <c r="D8" s="12" t="s">
        <v>64</v>
      </c>
      <c r="E8" s="12" t="s">
        <v>65</v>
      </c>
      <c r="F8" s="12" t="s">
        <v>66</v>
      </c>
    </row>
    <row r="9" spans="1:6" ht="52.05" customHeight="1" x14ac:dyDescent="0.3">
      <c r="A9" s="11" t="s">
        <v>67</v>
      </c>
      <c r="B9" s="12" t="s">
        <v>68</v>
      </c>
      <c r="C9" s="12" t="s">
        <v>69</v>
      </c>
      <c r="D9" s="12" t="s">
        <v>70</v>
      </c>
      <c r="E9" s="12" t="s">
        <v>71</v>
      </c>
      <c r="F9" s="12" t="s">
        <v>72</v>
      </c>
    </row>
    <row r="10" spans="1:6" ht="52.05" customHeight="1" x14ac:dyDescent="0.3">
      <c r="A10" s="11" t="s">
        <v>73</v>
      </c>
      <c r="B10" s="12" t="s">
        <v>74</v>
      </c>
      <c r="C10" s="12" t="s">
        <v>75</v>
      </c>
      <c r="D10" s="12" t="s">
        <v>76</v>
      </c>
      <c r="E10" s="12" t="s">
        <v>77</v>
      </c>
      <c r="F10" s="12" t="s">
        <v>78</v>
      </c>
    </row>
    <row r="11" spans="1:6" ht="52.05" customHeight="1" x14ac:dyDescent="0.3">
      <c r="A11" s="11" t="s">
        <v>79</v>
      </c>
      <c r="B11" s="12" t="s">
        <v>80</v>
      </c>
      <c r="C11" s="12" t="s">
        <v>81</v>
      </c>
      <c r="D11" s="12" t="s">
        <v>82</v>
      </c>
      <c r="E11" s="12" t="s">
        <v>83</v>
      </c>
      <c r="F11" s="12" t="s">
        <v>84</v>
      </c>
    </row>
    <row r="12" spans="1:6" ht="52.05" customHeight="1" x14ac:dyDescent="0.3"/>
  </sheetData>
  <mergeCells count="1">
    <mergeCell ref="A1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showGridLines="0" topLeftCell="A32" workbookViewId="0">
      <selection activeCell="C8" sqref="C8"/>
    </sheetView>
  </sheetViews>
  <sheetFormatPr defaultRowHeight="14.4" x14ac:dyDescent="0.3"/>
  <cols>
    <col min="1" max="1" width="28" customWidth="1"/>
    <col min="2" max="2" width="14" customWidth="1"/>
    <col min="3" max="3" width="17.88671875" customWidth="1"/>
    <col min="4" max="4" width="18" customWidth="1"/>
    <col min="5" max="7" width="20" customWidth="1"/>
  </cols>
  <sheetData>
    <row r="1" spans="1:7" x14ac:dyDescent="0.3">
      <c r="A1" s="51" t="s">
        <v>85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x14ac:dyDescent="0.3">
      <c r="A4" s="2" t="s">
        <v>86</v>
      </c>
      <c r="B4" s="2" t="s">
        <v>87</v>
      </c>
      <c r="C4" s="2" t="s">
        <v>88</v>
      </c>
      <c r="E4" s="2" t="s">
        <v>89</v>
      </c>
      <c r="F4" s="2" t="s">
        <v>90</v>
      </c>
      <c r="G4" s="2" t="s">
        <v>91</v>
      </c>
    </row>
    <row r="5" spans="1:7" ht="43.2" customHeight="1" x14ac:dyDescent="0.3">
      <c r="A5" s="13" t="s">
        <v>92</v>
      </c>
      <c r="B5" s="14">
        <v>2025</v>
      </c>
      <c r="C5" s="13" t="s">
        <v>93</v>
      </c>
      <c r="D5" s="13"/>
      <c r="E5" s="13">
        <v>1</v>
      </c>
      <c r="F5" s="13" t="s">
        <v>94</v>
      </c>
      <c r="G5" s="13" t="s">
        <v>95</v>
      </c>
    </row>
    <row r="6" spans="1:7" ht="28.8" customHeight="1" x14ac:dyDescent="0.3">
      <c r="A6" s="13" t="s">
        <v>96</v>
      </c>
      <c r="B6" s="14">
        <v>2030</v>
      </c>
      <c r="C6" s="13" t="s">
        <v>97</v>
      </c>
      <c r="D6" s="13"/>
      <c r="E6" s="13">
        <v>5</v>
      </c>
      <c r="F6" s="13" t="s">
        <v>98</v>
      </c>
      <c r="G6" s="13" t="s">
        <v>95</v>
      </c>
    </row>
    <row r="7" spans="1:7" ht="28.8" customHeight="1" x14ac:dyDescent="0.3">
      <c r="A7" s="13" t="s">
        <v>99</v>
      </c>
      <c r="B7" s="15">
        <f>B6-B5</f>
        <v>5</v>
      </c>
      <c r="C7" s="13" t="s">
        <v>100</v>
      </c>
      <c r="D7" s="13"/>
      <c r="E7" s="13">
        <v>10</v>
      </c>
      <c r="F7" s="13" t="s">
        <v>101</v>
      </c>
      <c r="G7" s="13" t="s">
        <v>95</v>
      </c>
    </row>
    <row r="9" spans="1:7" x14ac:dyDescent="0.3">
      <c r="A9" s="2" t="s">
        <v>102</v>
      </c>
      <c r="B9" s="2" t="s">
        <v>103</v>
      </c>
      <c r="C9" s="2" t="s">
        <v>104</v>
      </c>
    </row>
    <row r="10" spans="1:7" ht="57.6" customHeight="1" x14ac:dyDescent="0.3">
      <c r="A10" s="4" t="s">
        <v>105</v>
      </c>
      <c r="B10" s="16">
        <v>0.15</v>
      </c>
      <c r="C10" s="13" t="s">
        <v>106</v>
      </c>
    </row>
    <row r="11" spans="1:7" ht="57.6" customHeight="1" x14ac:dyDescent="0.3">
      <c r="A11" s="4" t="s">
        <v>107</v>
      </c>
      <c r="B11" s="16">
        <v>0.2</v>
      </c>
      <c r="C11" s="13" t="s">
        <v>108</v>
      </c>
    </row>
    <row r="12" spans="1:7" ht="57.6" customHeight="1" x14ac:dyDescent="0.3">
      <c r="A12" s="4" t="s">
        <v>109</v>
      </c>
      <c r="B12" s="16">
        <v>0.2</v>
      </c>
      <c r="C12" s="13" t="s">
        <v>110</v>
      </c>
    </row>
    <row r="13" spans="1:7" ht="28.8" customHeight="1" x14ac:dyDescent="0.3">
      <c r="A13" s="4" t="s">
        <v>111</v>
      </c>
      <c r="B13" s="16">
        <v>0.1</v>
      </c>
      <c r="C13" s="13" t="s">
        <v>112</v>
      </c>
    </row>
    <row r="14" spans="1:7" ht="28.8" customHeight="1" x14ac:dyDescent="0.3">
      <c r="A14" s="4" t="s">
        <v>113</v>
      </c>
      <c r="B14" s="16">
        <v>0.1</v>
      </c>
      <c r="C14" s="13" t="s">
        <v>114</v>
      </c>
    </row>
    <row r="15" spans="1:7" ht="43.2" customHeight="1" x14ac:dyDescent="0.3">
      <c r="A15" s="4" t="s">
        <v>115</v>
      </c>
      <c r="B15" s="16">
        <v>0.1</v>
      </c>
      <c r="C15" s="13" t="s">
        <v>116</v>
      </c>
    </row>
    <row r="16" spans="1:7" ht="57.6" customHeight="1" x14ac:dyDescent="0.3">
      <c r="A16" s="4" t="s">
        <v>117</v>
      </c>
      <c r="B16" s="16">
        <v>7.4999999999999997E-2</v>
      </c>
      <c r="C16" s="13" t="s">
        <v>118</v>
      </c>
    </row>
    <row r="17" spans="1:4" ht="28.8" customHeight="1" x14ac:dyDescent="0.3">
      <c r="A17" s="4" t="s">
        <v>119</v>
      </c>
      <c r="B17" s="16">
        <v>7.4999999999999997E-2</v>
      </c>
      <c r="C17" s="13" t="s">
        <v>112</v>
      </c>
    </row>
    <row r="18" spans="1:4" x14ac:dyDescent="0.3">
      <c r="A18" s="4" t="s">
        <v>120</v>
      </c>
      <c r="B18" s="17">
        <f>SUM(B10:B17)</f>
        <v>0.99999999999999989</v>
      </c>
      <c r="C18" s="4" t="s">
        <v>121</v>
      </c>
    </row>
    <row r="21" spans="1:4" ht="28.8" customHeight="1" x14ac:dyDescent="0.3">
      <c r="A21" s="2" t="s">
        <v>122</v>
      </c>
      <c r="B21" s="2" t="s">
        <v>123</v>
      </c>
      <c r="C21" s="2" t="s">
        <v>124</v>
      </c>
    </row>
    <row r="22" spans="1:4" x14ac:dyDescent="0.3">
      <c r="A22" s="4" t="s">
        <v>125</v>
      </c>
      <c r="B22" s="16">
        <v>0.75</v>
      </c>
      <c r="C22" s="4" t="s">
        <v>126</v>
      </c>
    </row>
    <row r="23" spans="1:4" x14ac:dyDescent="0.3">
      <c r="A23" s="4" t="s">
        <v>127</v>
      </c>
      <c r="B23" s="16">
        <v>0.6</v>
      </c>
      <c r="C23" s="4" t="s">
        <v>128</v>
      </c>
    </row>
    <row r="24" spans="1:4" x14ac:dyDescent="0.3">
      <c r="A24" s="4" t="s">
        <v>129</v>
      </c>
      <c r="B24" s="16">
        <v>0.45</v>
      </c>
      <c r="C24" s="4" t="s">
        <v>130</v>
      </c>
    </row>
    <row r="25" spans="1:4" x14ac:dyDescent="0.3">
      <c r="A25" s="4" t="s">
        <v>131</v>
      </c>
      <c r="B25" s="16">
        <v>0</v>
      </c>
      <c r="C25" s="4" t="s">
        <v>132</v>
      </c>
    </row>
    <row r="28" spans="1:4" ht="28.8" x14ac:dyDescent="0.3">
      <c r="A28" s="2" t="s">
        <v>133</v>
      </c>
      <c r="B28" s="2" t="s">
        <v>134</v>
      </c>
      <c r="C28" s="2" t="s">
        <v>135</v>
      </c>
      <c r="D28" s="2" t="s">
        <v>136</v>
      </c>
    </row>
    <row r="29" spans="1:4" ht="72" x14ac:dyDescent="0.3">
      <c r="A29" s="4" t="s">
        <v>137</v>
      </c>
      <c r="B29" s="40">
        <v>10</v>
      </c>
      <c r="C29" s="13" t="s">
        <v>138</v>
      </c>
      <c r="D29" s="38" t="s">
        <v>139</v>
      </c>
    </row>
    <row r="30" spans="1:4" ht="72" x14ac:dyDescent="0.3">
      <c r="A30" s="4" t="s">
        <v>140</v>
      </c>
      <c r="B30" s="40">
        <v>9</v>
      </c>
      <c r="C30" s="13" t="s">
        <v>141</v>
      </c>
      <c r="D30" s="38" t="s">
        <v>142</v>
      </c>
    </row>
    <row r="31" spans="1:4" ht="57.6" x14ac:dyDescent="0.3">
      <c r="A31" s="4" t="s">
        <v>143</v>
      </c>
      <c r="B31" s="40">
        <v>8</v>
      </c>
      <c r="C31" s="13" t="s">
        <v>144</v>
      </c>
      <c r="D31" s="38" t="s">
        <v>145</v>
      </c>
    </row>
    <row r="32" spans="1:4" ht="57.6" x14ac:dyDescent="0.3">
      <c r="A32" s="4" t="s">
        <v>146</v>
      </c>
      <c r="B32" s="40">
        <v>8</v>
      </c>
      <c r="C32" s="13" t="s">
        <v>147</v>
      </c>
      <c r="D32" s="38" t="s">
        <v>148</v>
      </c>
    </row>
    <row r="33" spans="1:4" ht="86.4" x14ac:dyDescent="0.3">
      <c r="A33" s="4" t="s">
        <v>149</v>
      </c>
      <c r="B33" s="40">
        <v>8</v>
      </c>
      <c r="C33" s="13" t="s">
        <v>150</v>
      </c>
      <c r="D33" s="38" t="s">
        <v>151</v>
      </c>
    </row>
    <row r="34" spans="1:4" ht="57.6" x14ac:dyDescent="0.3">
      <c r="A34" s="4" t="s">
        <v>152</v>
      </c>
      <c r="B34" s="40">
        <v>7</v>
      </c>
      <c r="C34" s="13" t="s">
        <v>153</v>
      </c>
      <c r="D34" s="38" t="s">
        <v>154</v>
      </c>
    </row>
    <row r="35" spans="1:4" ht="57.6" x14ac:dyDescent="0.3">
      <c r="A35" s="4" t="s">
        <v>155</v>
      </c>
      <c r="B35" s="40">
        <v>6</v>
      </c>
      <c r="C35" s="13" t="s">
        <v>156</v>
      </c>
      <c r="D35" s="38" t="s">
        <v>157</v>
      </c>
    </row>
  </sheetData>
  <mergeCells count="1">
    <mergeCell ref="A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"/>
  <sheetViews>
    <sheetView showGridLines="0" topLeftCell="F1" workbookViewId="0">
      <selection sqref="A1:U2"/>
    </sheetView>
  </sheetViews>
  <sheetFormatPr defaultRowHeight="14.4" x14ac:dyDescent="0.3"/>
  <cols>
    <col min="1" max="1" width="8" customWidth="1"/>
    <col min="2" max="2" width="34" customWidth="1"/>
    <col min="3" max="4" width="16" customWidth="1"/>
    <col min="5" max="5" width="11" customWidth="1"/>
    <col min="6" max="6" width="15" customWidth="1"/>
    <col min="7" max="10" width="12" customWidth="1"/>
    <col min="11" max="11" width="14" customWidth="1"/>
    <col min="12" max="13" width="12" customWidth="1"/>
    <col min="14" max="14" width="11" customWidth="1"/>
    <col min="15" max="15" width="12" customWidth="1"/>
    <col min="16" max="16" width="8" customWidth="1"/>
    <col min="17" max="17" width="18" customWidth="1"/>
    <col min="18" max="19" width="28" customWidth="1"/>
    <col min="20" max="20" width="22" customWidth="1"/>
    <col min="21" max="21" width="28" customWidth="1"/>
  </cols>
  <sheetData>
    <row r="1" spans="1:21" x14ac:dyDescent="0.3">
      <c r="A1" s="51" t="s">
        <v>158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4" spans="1:21" ht="43.2" customHeight="1" x14ac:dyDescent="0.3">
      <c r="A4" s="2" t="s">
        <v>37</v>
      </c>
      <c r="B4" s="2" t="s">
        <v>159</v>
      </c>
      <c r="C4" s="2" t="s">
        <v>160</v>
      </c>
      <c r="D4" s="2" t="s">
        <v>161</v>
      </c>
      <c r="E4" s="2" t="s">
        <v>109</v>
      </c>
      <c r="F4" s="2" t="s">
        <v>162</v>
      </c>
      <c r="G4" s="2" t="s">
        <v>163</v>
      </c>
      <c r="H4" s="2" t="s">
        <v>164</v>
      </c>
      <c r="I4" s="2" t="s">
        <v>165</v>
      </c>
      <c r="J4" s="2" t="s">
        <v>166</v>
      </c>
      <c r="K4" s="2" t="s">
        <v>167</v>
      </c>
      <c r="L4" s="2" t="s">
        <v>168</v>
      </c>
      <c r="M4" s="2" t="s">
        <v>169</v>
      </c>
      <c r="N4" s="2" t="s">
        <v>170</v>
      </c>
      <c r="O4" s="2" t="s">
        <v>171</v>
      </c>
      <c r="P4" s="2" t="s">
        <v>172</v>
      </c>
      <c r="Q4" s="2" t="s">
        <v>122</v>
      </c>
      <c r="R4" s="2" t="s">
        <v>173</v>
      </c>
      <c r="S4" s="2" t="s">
        <v>174</v>
      </c>
      <c r="T4" s="2" t="s">
        <v>175</v>
      </c>
      <c r="U4" s="2" t="s">
        <v>176</v>
      </c>
    </row>
    <row r="5" spans="1:21" ht="42" customHeight="1" x14ac:dyDescent="0.3">
      <c r="A5" s="11" t="s">
        <v>43</v>
      </c>
      <c r="B5" s="18" t="s">
        <v>44</v>
      </c>
      <c r="C5" s="19">
        <v>36.69</v>
      </c>
      <c r="D5" s="19">
        <v>58.65</v>
      </c>
      <c r="E5" s="20">
        <f>IF(AND(C5&gt;0,D5&gt;0,Assumptions!$B$7&gt;0),(D5/C5)^(1/Assumptions!$B$7)-1,"")</f>
        <v>9.8358362504523011E-2</v>
      </c>
      <c r="F5" s="21">
        <f t="shared" ref="F5:F11" si="0">IF(AND(C5&lt;&gt;"",D5&lt;&gt;""),D5-C5,"")</f>
        <v>21.96</v>
      </c>
      <c r="G5" s="22">
        <v>8</v>
      </c>
      <c r="H5" s="22">
        <v>8</v>
      </c>
      <c r="I5" s="22">
        <v>9</v>
      </c>
      <c r="J5" s="22">
        <v>8</v>
      </c>
      <c r="K5" s="20">
        <f t="shared" ref="K5:K11" si="1">IF(J5="","",1-(J5-1)/9)</f>
        <v>0.22222222222222221</v>
      </c>
      <c r="L5" s="22">
        <v>7</v>
      </c>
      <c r="M5" s="20">
        <f t="shared" ref="M5:M11" si="2">COUNT(C5,D5,G5,H5,I5,J5,L5)/7</f>
        <v>1</v>
      </c>
      <c r="N5" s="22">
        <v>4</v>
      </c>
      <c r="O5" s="20">
        <f>IF(COUNT(C5,D5,G5,H5,I5,J5,L5)=0,"",(IF(MAX($C$5:$C$11)&gt;0,C5/MAX($C$5:$C$11),0)*Assumptions!$B$10+IF(MAX($D$5:$D$11)&gt;0,D5/MAX($D$5:$D$11),0)*Assumptions!$B$11+IF(MAX($E$5:$E$11)&gt;0,E5/MAX($E$5:$E$11),0)*Assumptions!$B$12+IF(G5&lt;&gt;"",G5/10,0)*Assumptions!$B$13+IF(H5&lt;&gt;"",H5/10,0)*Assumptions!$B$14+IF(I5&lt;&gt;"",I5/10,0)*Assumptions!$B$15+IF(K5&lt;&gt;"",K5,0)*Assumptions!$B$16+IF(L5&lt;&gt;"",L5/10,0)*Assumptions!$B$17)*M5)</f>
        <v>0.43121631814035211</v>
      </c>
      <c r="P5" s="23">
        <f>IF(O5="","",RANK(O5,$O$5:$O$11,0)+COUNTIF($O$5:O5,O5)-1)</f>
        <v>6</v>
      </c>
      <c r="Q5" s="12" t="str">
        <f>IF(O5="","",IF(O5&gt;=Assumptions!$B$22,Assumptions!$A$22,IF(O5&gt;=Assumptions!$B$23,Assumptions!$A$23,IF(O5&gt;=Assumptions!$B$24,Assumptions!$A$24,Assumptions!$A$25))))</f>
        <v>Emerging / Niche</v>
      </c>
      <c r="R5" s="24" t="s">
        <v>177</v>
      </c>
      <c r="S5" s="24" t="s">
        <v>178</v>
      </c>
      <c r="T5" s="24" t="s">
        <v>179</v>
      </c>
      <c r="U5" s="39" t="s">
        <v>180</v>
      </c>
    </row>
    <row r="6" spans="1:21" ht="42" customHeight="1" x14ac:dyDescent="0.3">
      <c r="A6" s="11" t="s">
        <v>49</v>
      </c>
      <c r="B6" s="18" t="s">
        <v>50</v>
      </c>
      <c r="C6" s="19">
        <v>124.59</v>
      </c>
      <c r="D6" s="19">
        <v>193.77</v>
      </c>
      <c r="E6" s="20">
        <f>IF(AND(C6&gt;0,D6&gt;0,Assumptions!$B$7&gt;0),(D6/C6)^(1/Assumptions!$B$7)-1,"")</f>
        <v>9.2347126785064404E-2</v>
      </c>
      <c r="F6" s="21">
        <f t="shared" si="0"/>
        <v>69.180000000000007</v>
      </c>
      <c r="G6" s="22">
        <v>8</v>
      </c>
      <c r="H6" s="22">
        <v>8</v>
      </c>
      <c r="I6" s="22">
        <v>8</v>
      </c>
      <c r="J6" s="22">
        <v>8</v>
      </c>
      <c r="K6" s="20">
        <f t="shared" si="1"/>
        <v>0.22222222222222221</v>
      </c>
      <c r="L6" s="22">
        <v>7</v>
      </c>
      <c r="M6" s="20">
        <f t="shared" si="2"/>
        <v>1</v>
      </c>
      <c r="N6" s="22">
        <v>4</v>
      </c>
      <c r="O6" s="20">
        <f>IF(COUNT(C6,D6,G6,H6,I6,J6,L6)=0,"",(IF(MAX($C$5:$C$11)&gt;0,C6/MAX($C$5:$C$11),0)*Assumptions!$B$10+IF(MAX($D$5:$D$11)&gt;0,D6/MAX($D$5:$D$11),0)*Assumptions!$B$11+IF(MAX($E$5:$E$11)&gt;0,E6/MAX($E$5:$E$11),0)*Assumptions!$B$12+IF(G6&lt;&gt;"",G6/10,0)*Assumptions!$B$13+IF(H6&lt;&gt;"",H6/10,0)*Assumptions!$B$14+IF(I6&lt;&gt;"",I6/10,0)*Assumptions!$B$15+IF(K6&lt;&gt;"",K6,0)*Assumptions!$B$16+IF(L6&lt;&gt;"",L6/10,0)*Assumptions!$B$17)*M6)</f>
        <v>0.47974133914608635</v>
      </c>
      <c r="P6" s="23">
        <f>IF(O6="","",RANK(O6,$O$5:$O$11,0)+COUNTIF($O$5:O6,O6)-1)</f>
        <v>4</v>
      </c>
      <c r="Q6" s="12" t="str">
        <f>IF(O6="","",IF(O6&gt;=Assumptions!$B$22,Assumptions!$A$22,IF(O6&gt;=Assumptions!$B$23,Assumptions!$A$23,IF(O6&gt;=Assumptions!$B$24,Assumptions!$A$24,Assumptions!$A$25))))</f>
        <v>Watchlist</v>
      </c>
      <c r="R6" s="24" t="s">
        <v>181</v>
      </c>
      <c r="S6" s="24" t="s">
        <v>182</v>
      </c>
      <c r="T6" s="24" t="s">
        <v>183</v>
      </c>
      <c r="U6" s="39" t="s">
        <v>184</v>
      </c>
    </row>
    <row r="7" spans="1:21" ht="42" customHeight="1" x14ac:dyDescent="0.3">
      <c r="A7" s="11" t="s">
        <v>55</v>
      </c>
      <c r="B7" s="18" t="s">
        <v>56</v>
      </c>
      <c r="C7" s="19">
        <v>120.79</v>
      </c>
      <c r="D7" s="19">
        <v>151.5</v>
      </c>
      <c r="E7" s="20">
        <f>IF(AND(C7&gt;0,D7&gt;0,Assumptions!$B$7&gt;0),(D7/C7)^(1/Assumptions!$B$7)-1,"")</f>
        <v>4.634843797002608E-2</v>
      </c>
      <c r="F7" s="21">
        <f t="shared" si="0"/>
        <v>30.709999999999994</v>
      </c>
      <c r="G7" s="22">
        <v>8</v>
      </c>
      <c r="H7" s="22">
        <v>8</v>
      </c>
      <c r="I7" s="22">
        <v>8</v>
      </c>
      <c r="J7" s="22">
        <v>7</v>
      </c>
      <c r="K7" s="20">
        <f t="shared" si="1"/>
        <v>0.33333333333333337</v>
      </c>
      <c r="L7" s="22">
        <v>8</v>
      </c>
      <c r="M7" s="20">
        <f t="shared" si="2"/>
        <v>1</v>
      </c>
      <c r="N7" s="22">
        <v>4</v>
      </c>
      <c r="O7" s="20">
        <f>IF(COUNT(C7,D7,G7,H7,I7,J7,L7)=0,"",(IF(MAX($C$5:$C$11)&gt;0,C7/MAX($C$5:$C$11),0)*Assumptions!$B$10+IF(MAX($D$5:$D$11)&gt;0,D7/MAX($D$5:$D$11),0)*Assumptions!$B$11+IF(MAX($E$5:$E$11)&gt;0,E7/MAX($E$5:$E$11),0)*Assumptions!$B$12+IF(G7&lt;&gt;"",G7/10,0)*Assumptions!$B$13+IF(H7&lt;&gt;"",H7/10,0)*Assumptions!$B$14+IF(I7&lt;&gt;"",I7/10,0)*Assumptions!$B$15+IF(K7&lt;&gt;"",K7,0)*Assumptions!$B$16+IF(L7&lt;&gt;"",L7/10,0)*Assumptions!$B$17)*M7)</f>
        <v>0.44585172624091363</v>
      </c>
      <c r="P7" s="23">
        <f>IF(O7="","",RANK(O7,$O$5:$O$11,0)+COUNTIF($O$5:O7,O7)-1)</f>
        <v>5</v>
      </c>
      <c r="Q7" s="12" t="str">
        <f>IF(O7="","",IF(O7&gt;=Assumptions!$B$22,Assumptions!$A$22,IF(O7&gt;=Assumptions!$B$23,Assumptions!$A$23,IF(O7&gt;=Assumptions!$B$24,Assumptions!$A$24,Assumptions!$A$25))))</f>
        <v>Emerging / Niche</v>
      </c>
      <c r="R7" s="24" t="s">
        <v>185</v>
      </c>
      <c r="S7" s="24" t="s">
        <v>186</v>
      </c>
      <c r="T7" s="24" t="s">
        <v>187</v>
      </c>
      <c r="U7" s="39" t="s">
        <v>145</v>
      </c>
    </row>
    <row r="8" spans="1:21" ht="42" customHeight="1" x14ac:dyDescent="0.3">
      <c r="A8" s="11" t="s">
        <v>61</v>
      </c>
      <c r="B8" s="18" t="s">
        <v>62</v>
      </c>
      <c r="C8" s="19">
        <v>141.79</v>
      </c>
      <c r="D8" s="19">
        <v>336.94</v>
      </c>
      <c r="E8" s="20">
        <f>IF(AND(C8&gt;0,D8&gt;0,Assumptions!$B$7&gt;0),(D8/C8)^(1/Assumptions!$B$7)-1,"")</f>
        <v>0.18899873839209369</v>
      </c>
      <c r="F8" s="21">
        <f t="shared" si="0"/>
        <v>195.15</v>
      </c>
      <c r="G8" s="22">
        <v>9</v>
      </c>
      <c r="H8" s="22">
        <v>8</v>
      </c>
      <c r="I8" s="22">
        <v>8</v>
      </c>
      <c r="J8" s="22">
        <v>6</v>
      </c>
      <c r="K8" s="20">
        <f t="shared" si="1"/>
        <v>0.44444444444444442</v>
      </c>
      <c r="L8" s="22">
        <v>8</v>
      </c>
      <c r="M8" s="20">
        <f t="shared" si="2"/>
        <v>1</v>
      </c>
      <c r="N8" s="22">
        <v>3</v>
      </c>
      <c r="O8" s="20">
        <f>IF(COUNT(C8,D8,G8,H8,I8,J8,L8)=0,"",(IF(MAX($C$5:$C$11)&gt;0,C8/MAX($C$5:$C$11),0)*Assumptions!$B$10+IF(MAX($D$5:$D$11)&gt;0,D8/MAX($D$5:$D$11),0)*Assumptions!$B$11+IF(MAX($E$5:$E$11)&gt;0,E8/MAX($E$5:$E$11),0)*Assumptions!$B$12+IF(G8&lt;&gt;"",G8/10,0)*Assumptions!$B$13+IF(H8&lt;&gt;"",H8/10,0)*Assumptions!$B$14+IF(I8&lt;&gt;"",I8/10,0)*Assumptions!$B$15+IF(K8&lt;&gt;"",K8,0)*Assumptions!$B$16+IF(L8&lt;&gt;"",L8/10,0)*Assumptions!$B$17)*M8)</f>
        <v>0.63302325732771347</v>
      </c>
      <c r="P8" s="23">
        <f>IF(O8="","",RANK(O8,$O$5:$O$11,0)+COUNTIF($O$5:O8,O8)-1)</f>
        <v>2</v>
      </c>
      <c r="Q8" s="12" t="str">
        <f>IF(O8="","",IF(O8&gt;=Assumptions!$B$22,Assumptions!$A$22,IF(O8&gt;=Assumptions!$B$23,Assumptions!$A$23,IF(O8&gt;=Assumptions!$B$24,Assumptions!$A$24,Assumptions!$A$25))))</f>
        <v>Strong Candidate</v>
      </c>
      <c r="R8" s="24" t="s">
        <v>188</v>
      </c>
      <c r="S8" s="24" t="s">
        <v>189</v>
      </c>
      <c r="T8" s="24" t="s">
        <v>190</v>
      </c>
      <c r="U8" s="39" t="s">
        <v>148</v>
      </c>
    </row>
    <row r="9" spans="1:21" ht="42" customHeight="1" x14ac:dyDescent="0.3">
      <c r="A9" s="11" t="s">
        <v>67</v>
      </c>
      <c r="B9" s="18" t="s">
        <v>68</v>
      </c>
      <c r="C9" s="19">
        <v>356.7</v>
      </c>
      <c r="D9" s="19">
        <v>1010</v>
      </c>
      <c r="E9" s="20">
        <f>IF(AND(C9&gt;0,D9&gt;0,Assumptions!$B$7&gt;0),(D9/C9)^(1/Assumptions!$B$7)-1,"")</f>
        <v>0.23141276968312607</v>
      </c>
      <c r="F9" s="21">
        <f t="shared" si="0"/>
        <v>653.29999999999995</v>
      </c>
      <c r="G9" s="22">
        <v>10</v>
      </c>
      <c r="H9" s="22">
        <v>9</v>
      </c>
      <c r="I9" s="22">
        <v>7</v>
      </c>
      <c r="J9" s="22">
        <v>8</v>
      </c>
      <c r="K9" s="20">
        <f t="shared" si="1"/>
        <v>0.22222222222222221</v>
      </c>
      <c r="L9" s="22">
        <v>6</v>
      </c>
      <c r="M9" s="20">
        <f t="shared" si="2"/>
        <v>1</v>
      </c>
      <c r="N9" s="22">
        <v>3</v>
      </c>
      <c r="O9" s="20">
        <f>IF(COUNT(C9,D9,G9,H9,I9,J9,L9)=0,"",(IF(MAX($C$5:$C$11)&gt;0,C9/MAX($C$5:$C$11),0)*Assumptions!$B$10+IF(MAX($D$5:$D$11)&gt;0,D9/MAX($D$5:$D$11),0)*Assumptions!$B$11+IF(MAX($E$5:$E$11)&gt;0,E9/MAX($E$5:$E$11),0)*Assumptions!$B$12+IF(G9&lt;&gt;"",G9/10,0)*Assumptions!$B$13+IF(H9&lt;&gt;"",H9/10,0)*Assumptions!$B$14+IF(I9&lt;&gt;"",I9/10,0)*Assumptions!$B$15+IF(K9&lt;&gt;"",K9,0)*Assumptions!$B$16+IF(L9&lt;&gt;"",L9/10,0)*Assumptions!$B$17)*M9)</f>
        <v>0.8716666666666667</v>
      </c>
      <c r="P9" s="23">
        <f>IF(O9="","",RANK(O9,$O$5:$O$11,0)+COUNTIF($O$5:O9,O9)-1)</f>
        <v>1</v>
      </c>
      <c r="Q9" s="12" t="str">
        <f>IF(O9="","",IF(O9&gt;=Assumptions!$B$22,Assumptions!$A$22,IF(O9&gt;=Assumptions!$B$23,Assumptions!$A$23,IF(O9&gt;=Assumptions!$B$24,Assumptions!$A$24,Assumptions!$A$25))))</f>
        <v>Dominant Potential</v>
      </c>
      <c r="R9" s="24" t="s">
        <v>191</v>
      </c>
      <c r="S9" s="24" t="s">
        <v>192</v>
      </c>
      <c r="T9" s="24" t="s">
        <v>193</v>
      </c>
      <c r="U9" s="39" t="s">
        <v>194</v>
      </c>
    </row>
    <row r="10" spans="1:21" ht="42" customHeight="1" x14ac:dyDescent="0.3">
      <c r="A10" s="11" t="s">
        <v>73</v>
      </c>
      <c r="B10" s="18" t="s">
        <v>74</v>
      </c>
      <c r="C10" s="19">
        <v>40.799999999999997</v>
      </c>
      <c r="D10" s="19">
        <v>99.1</v>
      </c>
      <c r="E10" s="20">
        <f>IF(AND(C10&gt;0,D10&gt;0,Assumptions!$B$7&gt;0),(D10/C10)^(1/Assumptions!$B$7)-1,"")</f>
        <v>0.19421548511793318</v>
      </c>
      <c r="F10" s="21">
        <f t="shared" si="0"/>
        <v>58.3</v>
      </c>
      <c r="G10" s="22">
        <v>9</v>
      </c>
      <c r="H10" s="22">
        <v>7</v>
      </c>
      <c r="I10" s="22">
        <v>6</v>
      </c>
      <c r="J10" s="22">
        <v>7</v>
      </c>
      <c r="K10" s="20">
        <f t="shared" si="1"/>
        <v>0.33333333333333337</v>
      </c>
      <c r="L10" s="22">
        <v>6</v>
      </c>
      <c r="M10" s="20">
        <f t="shared" si="2"/>
        <v>1</v>
      </c>
      <c r="N10" s="22">
        <v>3</v>
      </c>
      <c r="O10" s="20">
        <f>IF(COUNT(C10,D10,G10,H10,I10,J10,L10)=0,"",(IF(MAX($C$5:$C$11)&gt;0,C10/MAX($C$5:$C$11),0)*Assumptions!$B$10+IF(MAX($D$5:$D$11)&gt;0,D10/MAX($D$5:$D$11),0)*Assumptions!$B$11+IF(MAX($E$5:$E$11)&gt;0,E10/MAX($E$5:$E$11),0)*Assumptions!$B$12+IF(G10&lt;&gt;"",G10/10,0)*Assumptions!$B$13+IF(H10&lt;&gt;"",H10/10,0)*Assumptions!$B$14+IF(I10&lt;&gt;"",I10/10,0)*Assumptions!$B$15+IF(K10&lt;&gt;"",K10,0)*Assumptions!$B$16+IF(L10&lt;&gt;"",L10/10,0)*Assumptions!$B$17)*M10)</f>
        <v>0.49463304088339183</v>
      </c>
      <c r="P10" s="23">
        <f>IF(O10="","",RANK(O10,$O$5:$O$11,0)+COUNTIF($O$5:O10,O10)-1)</f>
        <v>3</v>
      </c>
      <c r="Q10" s="12" t="str">
        <f>IF(O10="","",IF(O10&gt;=Assumptions!$B$22,Assumptions!$A$22,IF(O10&gt;=Assumptions!$B$23,Assumptions!$A$23,IF(O10&gt;=Assumptions!$B$24,Assumptions!$A$24,Assumptions!$A$25))))</f>
        <v>Watchlist</v>
      </c>
      <c r="R10" s="24" t="s">
        <v>195</v>
      </c>
      <c r="S10" s="24" t="s">
        <v>196</v>
      </c>
      <c r="T10" s="24" t="s">
        <v>197</v>
      </c>
      <c r="U10" s="39" t="s">
        <v>198</v>
      </c>
    </row>
    <row r="11" spans="1:21" ht="42" customHeight="1" x14ac:dyDescent="0.3">
      <c r="A11" s="11" t="s">
        <v>79</v>
      </c>
      <c r="B11" s="18" t="s">
        <v>80</v>
      </c>
      <c r="C11" s="19">
        <v>57.24</v>
      </c>
      <c r="D11" s="19">
        <v>78.48</v>
      </c>
      <c r="E11" s="20">
        <f>IF(AND(C11&gt;0,D11&gt;0,Assumptions!$B$7&gt;0),(D11/C11)^(1/Assumptions!$B$7)-1,"")</f>
        <v>6.5152703140776369E-2</v>
      </c>
      <c r="F11" s="21">
        <f t="shared" si="0"/>
        <v>21.240000000000002</v>
      </c>
      <c r="G11" s="22">
        <v>6</v>
      </c>
      <c r="H11" s="22">
        <v>7</v>
      </c>
      <c r="I11" s="22">
        <v>7</v>
      </c>
      <c r="J11" s="22">
        <v>8</v>
      </c>
      <c r="K11" s="20">
        <f t="shared" si="1"/>
        <v>0.22222222222222221</v>
      </c>
      <c r="L11" s="22">
        <v>7</v>
      </c>
      <c r="M11" s="20">
        <f t="shared" si="2"/>
        <v>1</v>
      </c>
      <c r="N11" s="22">
        <v>4</v>
      </c>
      <c r="O11" s="20">
        <f>IF(COUNT(C11,D11,G11,H11,I11,J11,L11)=0,"",(IF(MAX($C$5:$C$11)&gt;0,C11/MAX($C$5:$C$11),0)*Assumptions!$B$10+IF(MAX($D$5:$D$11)&gt;0,D11/MAX($D$5:$D$11),0)*Assumptions!$B$11+IF(MAX($E$5:$E$11)&gt;0,E11/MAX($E$5:$E$11),0)*Assumptions!$B$12+IF(G11&lt;&gt;"",G11/10,0)*Assumptions!$B$13+IF(H11&lt;&gt;"",H11/10,0)*Assumptions!$B$14+IF(I11&lt;&gt;"",I11/10,0)*Assumptions!$B$15+IF(K11&lt;&gt;"",K11,0)*Assumptions!$B$16+IF(L11&lt;&gt;"",L11/10,0)*Assumptions!$B$17)*M11)</f>
        <v>0.36508655821906977</v>
      </c>
      <c r="P11" s="23">
        <f>IF(O11="","",RANK(O11,$O$5:$O$11,0)+COUNTIF($O$5:O11,O11)-1)</f>
        <v>7</v>
      </c>
      <c r="Q11" s="12" t="str">
        <f>IF(O11="","",IF(O11&gt;=Assumptions!$B$22,Assumptions!$A$22,IF(O11&gt;=Assumptions!$B$23,Assumptions!$A$23,IF(O11&gt;=Assumptions!$B$24,Assumptions!$A$24,Assumptions!$A$25))))</f>
        <v>Emerging / Niche</v>
      </c>
      <c r="R11" s="24" t="s">
        <v>199</v>
      </c>
      <c r="S11" s="24" t="s">
        <v>200</v>
      </c>
      <c r="T11" s="24" t="s">
        <v>201</v>
      </c>
      <c r="U11" s="39" t="s">
        <v>157</v>
      </c>
    </row>
    <row r="12" spans="1:21" ht="42" customHeight="1" x14ac:dyDescent="0.3"/>
  </sheetData>
  <mergeCells count="1">
    <mergeCell ref="A1:U2"/>
  </mergeCells>
  <conditionalFormatting sqref="O5:O12">
    <cfRule type="colorScale" priority="1">
      <colorScale>
        <cfvo type="num" val="0"/>
        <cfvo type="num" val="0.5"/>
        <cfvo type="num" val="1"/>
        <color rgb="FFFDE9E7"/>
        <color rgb="FFFFF2CC"/>
        <color rgb="FFE2F0D9"/>
      </colorScale>
    </cfRule>
  </conditionalFormatting>
  <conditionalFormatting sqref="P5:P12">
    <cfRule type="cellIs" dxfId="0" priority="2" operator="equal">
      <formula>1</formula>
    </cfRule>
  </conditionalFormatting>
  <dataValidations count="3">
    <dataValidation type="whole" allowBlank="1" sqref="B21:B25 F21:F25 G5:L12" xr:uid="{00000000-0002-0000-0300-000000000000}">
      <formula1>1</formula1>
      <formula2>10</formula2>
    </dataValidation>
    <dataValidation type="whole" allowBlank="1" sqref="N5:N12" xr:uid="{00000000-0002-0000-0300-000001000000}">
      <formula1>1</formula1>
      <formula2>5</formula2>
    </dataValidation>
    <dataValidation type="decimal" operator="greaterThanOrEqual" allowBlank="1" sqref="C5:D12" xr:uid="{00000000-0002-0000-0300-000002000000}">
      <formula1>0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showGridLines="0" workbookViewId="0">
      <selection sqref="A1:J2"/>
    </sheetView>
  </sheetViews>
  <sheetFormatPr defaultRowHeight="14.4" x14ac:dyDescent="0.3"/>
  <cols>
    <col min="1" max="1" width="34" customWidth="1"/>
    <col min="2" max="6" width="14" customWidth="1"/>
    <col min="7" max="7" width="16" customWidth="1"/>
    <col min="8" max="8" width="10" customWidth="1"/>
    <col min="9" max="9" width="14" customWidth="1"/>
  </cols>
  <sheetData>
    <row r="1" spans="1:10" x14ac:dyDescent="0.3">
      <c r="A1" s="51" t="s">
        <v>202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x14ac:dyDescent="0.3">
      <c r="A2" s="50"/>
      <c r="B2" s="50"/>
      <c r="C2" s="50"/>
      <c r="D2" s="50"/>
      <c r="E2" s="50"/>
      <c r="F2" s="50"/>
      <c r="G2" s="50"/>
      <c r="H2" s="50"/>
      <c r="I2" s="50"/>
      <c r="J2" s="50"/>
    </row>
    <row r="4" spans="1:10" ht="28.8" customHeight="1" x14ac:dyDescent="0.3">
      <c r="A4" s="2" t="s">
        <v>159</v>
      </c>
      <c r="B4" s="2">
        <f>Assumptions!B5</f>
        <v>2025</v>
      </c>
      <c r="C4" s="2">
        <f>B4+1</f>
        <v>2026</v>
      </c>
      <c r="D4" s="2">
        <f>C4+1</f>
        <v>2027</v>
      </c>
      <c r="E4" s="2">
        <f>D4+1</f>
        <v>2028</v>
      </c>
      <c r="F4" s="2">
        <f>Assumptions!B6</f>
        <v>2030</v>
      </c>
      <c r="G4" s="2" t="s">
        <v>162</v>
      </c>
      <c r="H4" s="2" t="s">
        <v>109</v>
      </c>
      <c r="I4" s="2" t="s">
        <v>203</v>
      </c>
    </row>
    <row r="5" spans="1:10" x14ac:dyDescent="0.3">
      <c r="A5" s="25" t="s">
        <v>44</v>
      </c>
      <c r="B5" s="26">
        <f>IF(OR(Industry_Data!$C5="",Industry_Data!$E5=""),"",Industry_Data!$C5*(1+Industry_Data!$E5)^(B$4-Assumptions!$B$5))</f>
        <v>36.69</v>
      </c>
      <c r="C5" s="26">
        <f>IF(OR(Industry_Data!$C5="",Industry_Data!$E5=""),"",Industry_Data!$C5*(1+Industry_Data!$E5)^(C$4-Assumptions!$B$5))</f>
        <v>40.298768320290947</v>
      </c>
      <c r="D5" s="26">
        <f>IF(OR(Industry_Data!$C5="",Industry_Data!$E5=""),"",Industry_Data!$C5*(1+Industry_Data!$E5)^(D$4-Assumptions!$B$5))</f>
        <v>44.262489183223913</v>
      </c>
      <c r="E5" s="26">
        <f>IF(OR(Industry_Data!$C5="",Industry_Data!$E5=""),"",Industry_Data!$C5*(1+Industry_Data!$E5)^(E$4-Assumptions!$B$5))</f>
        <v>48.616075139659984</v>
      </c>
      <c r="F5" s="26">
        <f>IF(OR(Industry_Data!$C5="",Industry_Data!$E5=""),"",Industry_Data!$C5*(1+Industry_Data!$E5)^(F$4-Assumptions!$B$5))</f>
        <v>58.650000000000027</v>
      </c>
      <c r="G5" s="13">
        <f t="shared" ref="G5:G11" si="0">IF(AND(B5&lt;&gt;"",F5&lt;&gt;""),F5-B5,"")</f>
        <v>21.960000000000029</v>
      </c>
      <c r="H5" s="27">
        <f>Industry_Data!E5</f>
        <v>9.8358362504523011E-2</v>
      </c>
      <c r="I5" s="26">
        <f>IF(OR(F5="",Industry_Data!D5=""),"",F5-Industry_Data!D5)</f>
        <v>2.8421709430404007E-14</v>
      </c>
    </row>
    <row r="6" spans="1:10" ht="28.8" customHeight="1" x14ac:dyDescent="0.3">
      <c r="A6" s="25" t="s">
        <v>50</v>
      </c>
      <c r="B6" s="26">
        <f>IF(OR(Industry_Data!$C6="",Industry_Data!$E6=""),"",Industry_Data!$C6*(1+Industry_Data!$E6)^(B$4-Assumptions!$B$5))</f>
        <v>124.59</v>
      </c>
      <c r="C6" s="26">
        <f>IF(OR(Industry_Data!$C6="",Industry_Data!$E6=""),"",Industry_Data!$C6*(1+Industry_Data!$E6)^(C$4-Assumptions!$B$5))</f>
        <v>136.09552852615118</v>
      </c>
      <c r="D6" s="26">
        <f>IF(OR(Industry_Data!$C6="",Industry_Data!$E6=""),"",Industry_Data!$C6*(1+Industry_Data!$E6)^(D$4-Assumptions!$B$5))</f>
        <v>148.66355955383602</v>
      </c>
      <c r="E6" s="26">
        <f>IF(OR(Industry_Data!$C6="",Industry_Data!$E6=""),"",Industry_Data!$C6*(1+Industry_Data!$E6)^(E$4-Assumptions!$B$5))</f>
        <v>162.39221213627309</v>
      </c>
      <c r="F6" s="26">
        <f>IF(OR(Industry_Data!$C6="",Industry_Data!$E6=""),"",Industry_Data!$C6*(1+Industry_Data!$E6)^(F$4-Assumptions!$B$5))</f>
        <v>193.77000000000007</v>
      </c>
      <c r="G6" s="13">
        <f t="shared" si="0"/>
        <v>69.180000000000064</v>
      </c>
      <c r="H6" s="27">
        <f>Industry_Data!E6</f>
        <v>9.2347126785064404E-2</v>
      </c>
      <c r="I6" s="26">
        <f>IF(OR(F6="",Industry_Data!D6=""),"",F6-Industry_Data!D6)</f>
        <v>5.6843418860808015E-14</v>
      </c>
    </row>
    <row r="7" spans="1:10" x14ac:dyDescent="0.3">
      <c r="A7" s="25" t="s">
        <v>56</v>
      </c>
      <c r="B7" s="26">
        <f>IF(OR(Industry_Data!$C7="",Industry_Data!$E7=""),"",Industry_Data!$C7*(1+Industry_Data!$E7)^(B$4-Assumptions!$B$5))</f>
        <v>120.79</v>
      </c>
      <c r="C7" s="26">
        <f>IF(OR(Industry_Data!$C7="",Industry_Data!$E7=""),"",Industry_Data!$C7*(1+Industry_Data!$E7)^(C$4-Assumptions!$B$5))</f>
        <v>126.38842782239945</v>
      </c>
      <c r="D7" s="26">
        <f>IF(OR(Industry_Data!$C7="",Industry_Data!$E7=""),"",Industry_Data!$C7*(1+Industry_Data!$E7)^(D$4-Assumptions!$B$5))</f>
        <v>132.24633402945506</v>
      </c>
      <c r="E7" s="26">
        <f>IF(OR(Industry_Data!$C7="",Industry_Data!$E7=""),"",Industry_Data!$C7*(1+Industry_Data!$E7)^(E$4-Assumptions!$B$5))</f>
        <v>138.37574503898261</v>
      </c>
      <c r="F7" s="26">
        <f>IF(OR(Industry_Data!$C7="",Industry_Data!$E7=""),"",Industry_Data!$C7*(1+Industry_Data!$E7)^(F$4-Assumptions!$B$5))</f>
        <v>151.5</v>
      </c>
      <c r="G7" s="13">
        <f t="shared" si="0"/>
        <v>30.709999999999994</v>
      </c>
      <c r="H7" s="27">
        <f>Industry_Data!E7</f>
        <v>4.634843797002608E-2</v>
      </c>
      <c r="I7" s="26">
        <f>IF(OR(F7="",Industry_Data!D7=""),"",F7-Industry_Data!D7)</f>
        <v>0</v>
      </c>
    </row>
    <row r="8" spans="1:10" ht="28.8" customHeight="1" x14ac:dyDescent="0.3">
      <c r="A8" s="25" t="s">
        <v>62</v>
      </c>
      <c r="B8" s="26">
        <f>IF(OR(Industry_Data!$C8="",Industry_Data!$E8=""),"",Industry_Data!$C8*(1+Industry_Data!$E8)^(B$4-Assumptions!$B$5))</f>
        <v>141.79</v>
      </c>
      <c r="C8" s="26">
        <f>IF(OR(Industry_Data!$C8="",Industry_Data!$E8=""),"",Industry_Data!$C8*(1+Industry_Data!$E8)^(C$4-Assumptions!$B$5))</f>
        <v>168.58813111661496</v>
      </c>
      <c r="D8" s="26">
        <f>IF(OR(Industry_Data!$C8="",Industry_Data!$E8=""),"",Industry_Data!$C8*(1+Industry_Data!$E8)^(D$4-Assumptions!$B$5))</f>
        <v>200.45107520553606</v>
      </c>
      <c r="E8" s="26">
        <f>IF(OR(Industry_Data!$C8="",Industry_Data!$E8=""),"",Industry_Data!$C8*(1+Industry_Data!$E8)^(E$4-Assumptions!$B$5))</f>
        <v>238.33607552872107</v>
      </c>
      <c r="F8" s="26">
        <f>IF(OR(Industry_Data!$C8="",Industry_Data!$E8=""),"",Industry_Data!$C8*(1+Industry_Data!$E8)^(F$4-Assumptions!$B$5))</f>
        <v>336.93999999999994</v>
      </c>
      <c r="G8" s="13">
        <f t="shared" si="0"/>
        <v>195.14999999999995</v>
      </c>
      <c r="H8" s="27">
        <f>Industry_Data!E8</f>
        <v>0.18899873839209369</v>
      </c>
      <c r="I8" s="26">
        <f>IF(OR(F8="",Industry_Data!D8=""),"",F8-Industry_Data!D8)</f>
        <v>-5.6843418860808015E-14</v>
      </c>
    </row>
    <row r="9" spans="1:10" ht="28.8" customHeight="1" x14ac:dyDescent="0.3">
      <c r="A9" s="25" t="s">
        <v>68</v>
      </c>
      <c r="B9" s="26">
        <f>IF(OR(Industry_Data!$C9="",Industry_Data!$E9=""),"",Industry_Data!$C9*(1+Industry_Data!$E9)^(B$4-Assumptions!$B$5))</f>
        <v>356.7</v>
      </c>
      <c r="C9" s="26">
        <f>IF(OR(Industry_Data!$C9="",Industry_Data!$E9=""),"",Industry_Data!$C9*(1+Industry_Data!$E9)^(C$4-Assumptions!$B$5))</f>
        <v>439.24493494597107</v>
      </c>
      <c r="D9" s="26">
        <f>IF(OR(Industry_Data!$C9="",Industry_Data!$E9=""),"",Industry_Data!$C9*(1+Industry_Data!$E9)^(D$4-Assumptions!$B$5))</f>
        <v>540.89182191110274</v>
      </c>
      <c r="E9" s="26">
        <f>IF(OR(Industry_Data!$C9="",Industry_Data!$E9=""),"",Industry_Data!$C9*(1+Industry_Data!$E9)^(E$4-Assumptions!$B$5))</f>
        <v>666.06109651850329</v>
      </c>
      <c r="F9" s="26">
        <f>IF(OR(Industry_Data!$C9="",Industry_Data!$E9=""),"",Industry_Data!$C9*(1+Industry_Data!$E9)^(F$4-Assumptions!$B$5))</f>
        <v>1010.0000000000003</v>
      </c>
      <c r="G9" s="13">
        <f t="shared" si="0"/>
        <v>653.30000000000041</v>
      </c>
      <c r="H9" s="27">
        <f>Industry_Data!E9</f>
        <v>0.23141276968312607</v>
      </c>
      <c r="I9" s="26">
        <f>IF(OR(F9="",Industry_Data!D9=""),"",F9-Industry_Data!D9)</f>
        <v>3.4106051316484809E-13</v>
      </c>
    </row>
    <row r="10" spans="1:10" x14ac:dyDescent="0.3">
      <c r="A10" s="25" t="s">
        <v>74</v>
      </c>
      <c r="B10" s="26">
        <f>IF(OR(Industry_Data!$C10="",Industry_Data!$E10=""),"",Industry_Data!$C10*(1+Industry_Data!$E10)^(B$4-Assumptions!$B$5))</f>
        <v>40.799999999999997</v>
      </c>
      <c r="C10" s="26">
        <f>IF(OR(Industry_Data!$C10="",Industry_Data!$E10=""),"",Industry_Data!$C10*(1+Industry_Data!$E10)^(C$4-Assumptions!$B$5))</f>
        <v>48.723991792811674</v>
      </c>
      <c r="D10" s="26">
        <f>IF(OR(Industry_Data!$C10="",Industry_Data!$E10=""),"",Industry_Data!$C10*(1+Industry_Data!$E10)^(D$4-Assumptions!$B$5))</f>
        <v>58.186945495734783</v>
      </c>
      <c r="E10" s="26">
        <f>IF(OR(Industry_Data!$C10="",Industry_Data!$E10=""),"",Industry_Data!$C10*(1+Industry_Data!$E10)^(E$4-Assumptions!$B$5))</f>
        <v>69.487751342719648</v>
      </c>
      <c r="F10" s="26">
        <f>IF(OR(Industry_Data!$C10="",Industry_Data!$E10=""),"",Industry_Data!$C10*(1+Industry_Data!$E10)^(F$4-Assumptions!$B$5))</f>
        <v>99.100000000000009</v>
      </c>
      <c r="G10" s="13">
        <f t="shared" si="0"/>
        <v>58.300000000000011</v>
      </c>
      <c r="H10" s="27">
        <f>Industry_Data!E10</f>
        <v>0.19421548511793318</v>
      </c>
      <c r="I10" s="26">
        <f>IF(OR(F10="",Industry_Data!D10=""),"",F10-Industry_Data!D10)</f>
        <v>1.4210854715202004E-14</v>
      </c>
    </row>
    <row r="11" spans="1:10" ht="28.8" customHeight="1" x14ac:dyDescent="0.3">
      <c r="A11" s="25" t="s">
        <v>80</v>
      </c>
      <c r="B11" s="26">
        <f>IF(OR(Industry_Data!$C11="",Industry_Data!$E11=""),"",Industry_Data!$C11*(1+Industry_Data!$E11)^(B$4-Assumptions!$B$5))</f>
        <v>57.24</v>
      </c>
      <c r="C11" s="26">
        <f>IF(OR(Industry_Data!$C11="",Industry_Data!$E11=""),"",Industry_Data!$C11*(1+Industry_Data!$E11)^(C$4-Assumptions!$B$5))</f>
        <v>60.969340727778039</v>
      </c>
      <c r="D11" s="26">
        <f>IF(OR(Industry_Data!$C11="",Industry_Data!$E11=""),"",Industry_Data!$C11*(1+Industry_Data!$E11)^(D$4-Assumptions!$B$5))</f>
        <v>64.941658084903821</v>
      </c>
      <c r="E11" s="26">
        <f>IF(OR(Industry_Data!$C11="",Industry_Data!$E11=""),"",Industry_Data!$C11*(1+Industry_Data!$E11)^(E$4-Assumptions!$B$5))</f>
        <v>69.172782655579354</v>
      </c>
      <c r="F11" s="26">
        <f>IF(OR(Industry_Data!$C11="",Industry_Data!$E11=""),"",Industry_Data!$C11*(1+Industry_Data!$E11)^(F$4-Assumptions!$B$5))</f>
        <v>78.47999999999999</v>
      </c>
      <c r="G11" s="13">
        <f t="shared" si="0"/>
        <v>21.239999999999988</v>
      </c>
      <c r="H11" s="27">
        <f>Industry_Data!E11</f>
        <v>6.5152703140776369E-2</v>
      </c>
      <c r="I11" s="26">
        <f>IF(OR(F11="",Industry_Data!D11=""),"",F11-Industry_Data!D11)</f>
        <v>-1.4210854715202004E-14</v>
      </c>
    </row>
    <row r="12" spans="1:10" ht="28.8" customHeight="1" x14ac:dyDescent="0.3"/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showGridLines="0" topLeftCell="A14" workbookViewId="0">
      <selection activeCell="D4" sqref="D4"/>
    </sheetView>
  </sheetViews>
  <sheetFormatPr defaultRowHeight="14.4" x14ac:dyDescent="0.3"/>
  <cols>
    <col min="1" max="1" width="8" customWidth="1"/>
    <col min="2" max="2" width="34" customWidth="1"/>
    <col min="3" max="5" width="14" customWidth="1"/>
    <col min="6" max="6" width="10" customWidth="1"/>
    <col min="7" max="7" width="16" customWidth="1"/>
    <col min="8" max="8" width="42" customWidth="1"/>
  </cols>
  <sheetData>
    <row r="1" spans="1:8" x14ac:dyDescent="0.3">
      <c r="A1" s="51" t="s">
        <v>204</v>
      </c>
      <c r="B1" s="50"/>
      <c r="C1" s="50"/>
      <c r="D1" s="50"/>
      <c r="E1" s="50"/>
      <c r="F1" s="50"/>
      <c r="G1" s="50"/>
      <c r="H1" s="50"/>
    </row>
    <row r="2" spans="1:8" x14ac:dyDescent="0.3">
      <c r="A2" s="50"/>
      <c r="B2" s="50"/>
      <c r="C2" s="50"/>
      <c r="D2" s="50"/>
      <c r="E2" s="50"/>
      <c r="F2" s="50"/>
      <c r="G2" s="50"/>
      <c r="H2" s="50"/>
    </row>
    <row r="4" spans="1:8" x14ac:dyDescent="0.3">
      <c r="A4" s="10" t="s">
        <v>205</v>
      </c>
      <c r="B4" s="28" t="s">
        <v>68</v>
      </c>
      <c r="C4" s="10" t="s">
        <v>206</v>
      </c>
      <c r="D4" s="29">
        <v>0.872</v>
      </c>
      <c r="E4" s="10" t="s">
        <v>207</v>
      </c>
      <c r="F4" s="29">
        <v>0.53200000000000003</v>
      </c>
    </row>
    <row r="6" spans="1:8" ht="28.8" customHeight="1" x14ac:dyDescent="0.3">
      <c r="A6" s="2" t="s">
        <v>172</v>
      </c>
      <c r="B6" s="2" t="s">
        <v>159</v>
      </c>
      <c r="C6" s="2" t="s">
        <v>208</v>
      </c>
      <c r="D6" s="2" t="s">
        <v>209</v>
      </c>
      <c r="E6" s="2" t="s">
        <v>210</v>
      </c>
      <c r="F6" s="2" t="s">
        <v>109</v>
      </c>
      <c r="G6" s="2" t="s">
        <v>122</v>
      </c>
      <c r="H6" s="2" t="s">
        <v>211</v>
      </c>
    </row>
    <row r="7" spans="1:8" ht="43.2" x14ac:dyDescent="0.3">
      <c r="A7" s="13">
        <v>1</v>
      </c>
      <c r="B7" s="13" t="s">
        <v>68</v>
      </c>
      <c r="C7" s="27">
        <v>0.872</v>
      </c>
      <c r="D7" s="26">
        <v>356.7</v>
      </c>
      <c r="E7" s="26">
        <v>1010</v>
      </c>
      <c r="F7" s="27">
        <v>0.2314127696831261</v>
      </c>
      <c r="G7" s="13" t="str">
        <f>IF(O9="","",IF(O9&gt;=Assumptions!$B$22,Assumptions!$A$22,IF(O9&gt;=Assumptions!$B$23,Assumptions!$A$23,IF(O9&gt;=Assumptions!$B$24,Assumptions!$A$24,Assumptions!$A$25))))</f>
        <v/>
      </c>
      <c r="H7" s="13" t="s">
        <v>191</v>
      </c>
    </row>
    <row r="8" spans="1:8" ht="43.2" x14ac:dyDescent="0.3">
      <c r="A8" s="13">
        <v>2</v>
      </c>
      <c r="B8" s="13" t="s">
        <v>62</v>
      </c>
      <c r="C8" s="27">
        <v>0.63300000000000001</v>
      </c>
      <c r="D8" s="26">
        <v>141.79</v>
      </c>
      <c r="E8" s="26">
        <v>336.94</v>
      </c>
      <c r="F8" s="27">
        <v>0.18899873839209369</v>
      </c>
      <c r="G8" s="13" t="str">
        <f>IF(O8="","",IF(O8&gt;=Assumptions!$B$22,Assumptions!$A$22,IF(O8&gt;=Assumptions!$B$23,Assumptions!$A$23,IF(O8&gt;=Assumptions!$B$24,Assumptions!$A$24,Assumptions!$A$25))))</f>
        <v/>
      </c>
      <c r="H8" s="13" t="s">
        <v>188</v>
      </c>
    </row>
    <row r="9" spans="1:8" ht="43.2" x14ac:dyDescent="0.3">
      <c r="A9" s="13">
        <v>3</v>
      </c>
      <c r="B9" s="13" t="s">
        <v>74</v>
      </c>
      <c r="C9" s="27">
        <v>0.495</v>
      </c>
      <c r="D9" s="26">
        <v>40.799999999999997</v>
      </c>
      <c r="E9" s="26">
        <v>99.1</v>
      </c>
      <c r="F9" s="27">
        <v>0.19421548511793321</v>
      </c>
      <c r="G9" s="13" t="str">
        <f>IF(O10="","",IF(O10&gt;=Assumptions!$B$22,Assumptions!$A$22,IF(O10&gt;=Assumptions!$B$23,Assumptions!$A$23,IF(O10&gt;=Assumptions!$B$24,Assumptions!$A$24,Assumptions!$A$25))))</f>
        <v/>
      </c>
      <c r="H9" s="13" t="s">
        <v>195</v>
      </c>
    </row>
    <row r="10" spans="1:8" ht="28.8" x14ac:dyDescent="0.3">
      <c r="A10" s="13">
        <v>4</v>
      </c>
      <c r="B10" s="13" t="s">
        <v>50</v>
      </c>
      <c r="C10" s="27">
        <v>0.48</v>
      </c>
      <c r="D10" s="26">
        <v>124.59</v>
      </c>
      <c r="E10" s="26">
        <v>193.77</v>
      </c>
      <c r="F10" s="27">
        <v>9.2347126785064404E-2</v>
      </c>
      <c r="G10" s="13" t="str">
        <f>IF(O6="","",IF(O6&gt;=Assumptions!$B$22,Assumptions!$A$22,IF(O6&gt;=Assumptions!$B$23,Assumptions!$A$23,IF(O6&gt;=Assumptions!$B$24,Assumptions!$A$24,Assumptions!$A$25))))</f>
        <v/>
      </c>
      <c r="H10" s="13" t="s">
        <v>181</v>
      </c>
    </row>
    <row r="11" spans="1:8" ht="28.8" x14ac:dyDescent="0.3">
      <c r="A11" s="13">
        <v>5</v>
      </c>
      <c r="B11" s="13" t="s">
        <v>56</v>
      </c>
      <c r="C11" s="27">
        <v>0.44600000000000001</v>
      </c>
      <c r="D11" s="26">
        <v>120.79</v>
      </c>
      <c r="E11" s="26">
        <v>151.5</v>
      </c>
      <c r="F11" s="27">
        <v>4.634843797002608E-2</v>
      </c>
      <c r="G11" s="13" t="str">
        <f>IF(O7="","",IF(O7&gt;=Assumptions!$B$22,Assumptions!$A$22,IF(O7&gt;=Assumptions!$B$23,Assumptions!$A$23,IF(O7&gt;=Assumptions!$B$24,Assumptions!$A$24,Assumptions!$A$25))))</f>
        <v/>
      </c>
      <c r="H11" s="13" t="s">
        <v>185</v>
      </c>
    </row>
    <row r="12" spans="1:8" ht="28.8" x14ac:dyDescent="0.3">
      <c r="A12" s="13">
        <v>6</v>
      </c>
      <c r="B12" s="13" t="s">
        <v>44</v>
      </c>
      <c r="C12" s="27">
        <v>0.43099999999999999</v>
      </c>
      <c r="D12" s="26">
        <v>36.69</v>
      </c>
      <c r="E12" s="26">
        <v>58.65</v>
      </c>
      <c r="F12" s="27">
        <v>9.8358362504523011E-2</v>
      </c>
      <c r="G12" s="13" t="str">
        <f>IF(O5="","",IF(O5&gt;=Assumptions!$B$22,Assumptions!$A$22,IF(O5&gt;=Assumptions!$B$23,Assumptions!$A$23,IF(O5&gt;=Assumptions!$B$24,Assumptions!$A$24,Assumptions!$A$25))))</f>
        <v/>
      </c>
      <c r="H12" s="13" t="s">
        <v>177</v>
      </c>
    </row>
    <row r="13" spans="1:8" ht="43.2" x14ac:dyDescent="0.3">
      <c r="A13" s="13">
        <v>7</v>
      </c>
      <c r="B13" s="13" t="s">
        <v>80</v>
      </c>
      <c r="C13" s="27">
        <v>0.36499999999999999</v>
      </c>
      <c r="D13" s="26">
        <v>57.24</v>
      </c>
      <c r="E13" s="26">
        <v>78.48</v>
      </c>
      <c r="F13" s="27">
        <v>6.5152703140776369E-2</v>
      </c>
      <c r="G13" s="13" t="str">
        <f>IF(O11="","",IF(O11&gt;=Assumptions!$B$22,Assumptions!$A$22,IF(O11&gt;=Assumptions!$B$23,Assumptions!$A$23,IF(O11&gt;=Assumptions!$B$24,Assumptions!$A$24,Assumptions!$A$25))))</f>
        <v/>
      </c>
      <c r="H13" s="13" t="s">
        <v>199</v>
      </c>
    </row>
    <row r="14" spans="1:8" x14ac:dyDescent="0.3">
      <c r="A14" s="13"/>
      <c r="B14" s="13"/>
      <c r="C14" s="27"/>
      <c r="D14" s="26"/>
      <c r="E14" s="26"/>
      <c r="F14" s="27"/>
      <c r="G14" s="13"/>
      <c r="H14" s="13"/>
    </row>
  </sheetData>
  <mergeCells count="1">
    <mergeCell ref="A1:H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9"/>
  <sheetViews>
    <sheetView showGridLines="0" topLeftCell="C1" workbookViewId="0">
      <selection sqref="A1:I2"/>
    </sheetView>
  </sheetViews>
  <sheetFormatPr defaultRowHeight="14.4" x14ac:dyDescent="0.3"/>
  <cols>
    <col min="1" max="1" width="24" customWidth="1"/>
    <col min="2" max="2" width="28" customWidth="1"/>
    <col min="3" max="5" width="24" customWidth="1"/>
    <col min="6" max="6" width="42" customWidth="1"/>
    <col min="7" max="7" width="16" customWidth="1"/>
    <col min="8" max="8" width="42" customWidth="1"/>
    <col min="9" max="9" width="14" customWidth="1"/>
  </cols>
  <sheetData>
    <row r="1" spans="1:9" x14ac:dyDescent="0.3">
      <c r="A1" s="52" t="s">
        <v>212</v>
      </c>
      <c r="B1" s="50"/>
      <c r="C1" s="50"/>
      <c r="D1" s="50"/>
      <c r="E1" s="50"/>
      <c r="F1" s="50"/>
      <c r="G1" s="50"/>
      <c r="H1" s="50"/>
      <c r="I1" s="50"/>
    </row>
    <row r="2" spans="1:9" x14ac:dyDescent="0.3">
      <c r="A2" s="50"/>
      <c r="B2" s="50"/>
      <c r="C2" s="50"/>
      <c r="D2" s="50"/>
      <c r="E2" s="50"/>
      <c r="F2" s="50"/>
      <c r="G2" s="50"/>
      <c r="H2" s="50"/>
      <c r="I2" s="50"/>
    </row>
    <row r="3" spans="1:9" x14ac:dyDescent="0.3">
      <c r="A3" s="41"/>
      <c r="B3" s="41"/>
      <c r="C3" s="41"/>
      <c r="D3" s="41"/>
      <c r="E3" s="41"/>
      <c r="F3" s="41"/>
      <c r="G3" s="41"/>
      <c r="H3" s="41"/>
      <c r="I3" s="41"/>
    </row>
    <row r="4" spans="1:9" x14ac:dyDescent="0.3">
      <c r="A4" s="43" t="s">
        <v>213</v>
      </c>
      <c r="B4" s="43" t="s">
        <v>159</v>
      </c>
      <c r="C4" s="43" t="s">
        <v>214</v>
      </c>
      <c r="D4" s="43" t="s">
        <v>215</v>
      </c>
      <c r="E4" s="43" t="s">
        <v>216</v>
      </c>
      <c r="F4" s="43" t="s">
        <v>217</v>
      </c>
      <c r="G4" s="43" t="s">
        <v>218</v>
      </c>
      <c r="H4" s="43" t="s">
        <v>219</v>
      </c>
      <c r="I4" s="43" t="s">
        <v>220</v>
      </c>
    </row>
    <row r="5" spans="1:9" ht="43.2" x14ac:dyDescent="0.3">
      <c r="A5" s="22" t="s">
        <v>221</v>
      </c>
      <c r="B5" s="22" t="s">
        <v>43</v>
      </c>
      <c r="C5" s="22" t="s">
        <v>222</v>
      </c>
      <c r="D5" s="22" t="s">
        <v>223</v>
      </c>
      <c r="E5" s="22" t="s">
        <v>224</v>
      </c>
      <c r="F5" s="44" t="s">
        <v>180</v>
      </c>
      <c r="G5" s="22" t="s">
        <v>225</v>
      </c>
      <c r="H5" s="22" t="s">
        <v>226</v>
      </c>
      <c r="I5" s="22">
        <v>4</v>
      </c>
    </row>
    <row r="6" spans="1:9" ht="28.8" x14ac:dyDescent="0.3">
      <c r="A6" s="22" t="s">
        <v>221</v>
      </c>
      <c r="B6" s="22" t="s">
        <v>49</v>
      </c>
      <c r="C6" s="22" t="s">
        <v>227</v>
      </c>
      <c r="D6" s="22" t="s">
        <v>223</v>
      </c>
      <c r="E6" s="22" t="s">
        <v>224</v>
      </c>
      <c r="F6" s="44" t="s">
        <v>184</v>
      </c>
      <c r="G6" s="22" t="s">
        <v>228</v>
      </c>
      <c r="H6" s="22" t="s">
        <v>229</v>
      </c>
      <c r="I6" s="22">
        <v>4</v>
      </c>
    </row>
    <row r="7" spans="1:9" ht="28.8" x14ac:dyDescent="0.3">
      <c r="A7" s="22" t="s">
        <v>221</v>
      </c>
      <c r="B7" s="22" t="s">
        <v>55</v>
      </c>
      <c r="C7" s="22" t="s">
        <v>230</v>
      </c>
      <c r="D7" s="22" t="s">
        <v>223</v>
      </c>
      <c r="E7" s="22" t="s">
        <v>224</v>
      </c>
      <c r="F7" s="44" t="s">
        <v>145</v>
      </c>
      <c r="G7" s="22" t="s">
        <v>231</v>
      </c>
      <c r="H7" s="22" t="s">
        <v>232</v>
      </c>
      <c r="I7" s="22">
        <v>4</v>
      </c>
    </row>
    <row r="8" spans="1:9" ht="28.8" x14ac:dyDescent="0.3">
      <c r="A8" s="22" t="s">
        <v>221</v>
      </c>
      <c r="B8" s="22" t="s">
        <v>61</v>
      </c>
      <c r="C8" s="22" t="s">
        <v>233</v>
      </c>
      <c r="D8" s="22" t="s">
        <v>223</v>
      </c>
      <c r="E8" s="22" t="s">
        <v>224</v>
      </c>
      <c r="F8" s="44" t="s">
        <v>148</v>
      </c>
      <c r="G8" s="22" t="s">
        <v>234</v>
      </c>
      <c r="H8" s="22" t="s">
        <v>235</v>
      </c>
      <c r="I8" s="22">
        <v>3</v>
      </c>
    </row>
    <row r="9" spans="1:9" ht="43.2" x14ac:dyDescent="0.3">
      <c r="A9" s="22" t="s">
        <v>221</v>
      </c>
      <c r="B9" s="22" t="s">
        <v>67</v>
      </c>
      <c r="C9" s="22" t="s">
        <v>236</v>
      </c>
      <c r="D9" s="22" t="s">
        <v>223</v>
      </c>
      <c r="E9" s="22" t="s">
        <v>224</v>
      </c>
      <c r="F9" s="44" t="s">
        <v>194</v>
      </c>
      <c r="G9" s="22" t="s">
        <v>237</v>
      </c>
      <c r="H9" s="22" t="s">
        <v>238</v>
      </c>
      <c r="I9" s="22">
        <v>4</v>
      </c>
    </row>
    <row r="10" spans="1:9" ht="28.8" x14ac:dyDescent="0.3">
      <c r="A10" s="22" t="s">
        <v>221</v>
      </c>
      <c r="B10" s="22" t="s">
        <v>73</v>
      </c>
      <c r="C10" s="22" t="s">
        <v>239</v>
      </c>
      <c r="D10" s="22" t="s">
        <v>223</v>
      </c>
      <c r="E10" s="22" t="s">
        <v>224</v>
      </c>
      <c r="F10" s="44" t="s">
        <v>198</v>
      </c>
      <c r="G10" s="22" t="s">
        <v>231</v>
      </c>
      <c r="H10" s="22" t="s">
        <v>240</v>
      </c>
      <c r="I10" s="22">
        <v>3</v>
      </c>
    </row>
    <row r="11" spans="1:9" ht="43.2" x14ac:dyDescent="0.3">
      <c r="A11" s="22" t="s">
        <v>221</v>
      </c>
      <c r="B11" s="22" t="s">
        <v>79</v>
      </c>
      <c r="C11" s="22" t="s">
        <v>241</v>
      </c>
      <c r="D11" s="22" t="s">
        <v>223</v>
      </c>
      <c r="E11" s="22" t="s">
        <v>224</v>
      </c>
      <c r="F11" s="44" t="s">
        <v>157</v>
      </c>
      <c r="G11" s="22" t="s">
        <v>234</v>
      </c>
      <c r="H11" s="22" t="s">
        <v>242</v>
      </c>
      <c r="I11" s="22">
        <v>4</v>
      </c>
    </row>
    <row r="12" spans="1:9" ht="28.8" x14ac:dyDescent="0.3">
      <c r="A12" s="22" t="s">
        <v>221</v>
      </c>
      <c r="B12" s="22" t="s">
        <v>243</v>
      </c>
      <c r="C12" s="22" t="s">
        <v>244</v>
      </c>
      <c r="D12" s="22" t="s">
        <v>223</v>
      </c>
      <c r="E12" s="22" t="s">
        <v>245</v>
      </c>
      <c r="F12" s="44" t="s">
        <v>139</v>
      </c>
      <c r="G12" s="22" t="s">
        <v>231</v>
      </c>
      <c r="H12" s="22" t="s">
        <v>246</v>
      </c>
      <c r="I12" s="22">
        <v>5</v>
      </c>
    </row>
    <row r="13" spans="1:9" ht="43.2" x14ac:dyDescent="0.3">
      <c r="A13" s="22" t="s">
        <v>221</v>
      </c>
      <c r="B13" s="22" t="s">
        <v>243</v>
      </c>
      <c r="C13" s="22" t="s">
        <v>247</v>
      </c>
      <c r="D13" s="22" t="s">
        <v>223</v>
      </c>
      <c r="E13" s="22" t="s">
        <v>248</v>
      </c>
      <c r="F13" s="44" t="s">
        <v>142</v>
      </c>
      <c r="G13" s="22" t="s">
        <v>234</v>
      </c>
      <c r="H13" s="22" t="s">
        <v>249</v>
      </c>
      <c r="I13" s="22">
        <v>4</v>
      </c>
    </row>
    <row r="14" spans="1:9" ht="43.2" x14ac:dyDescent="0.3">
      <c r="A14" s="22" t="s">
        <v>221</v>
      </c>
      <c r="B14" s="22" t="s">
        <v>243</v>
      </c>
      <c r="C14" s="22" t="s">
        <v>250</v>
      </c>
      <c r="D14" s="22" t="s">
        <v>223</v>
      </c>
      <c r="E14" s="22" t="s">
        <v>251</v>
      </c>
      <c r="F14" s="44" t="s">
        <v>151</v>
      </c>
      <c r="G14" s="22" t="s">
        <v>252</v>
      </c>
      <c r="H14" s="22" t="s">
        <v>253</v>
      </c>
      <c r="I14" s="22">
        <v>4</v>
      </c>
    </row>
    <row r="15" spans="1:9" ht="43.2" x14ac:dyDescent="0.3">
      <c r="A15" s="22" t="s">
        <v>221</v>
      </c>
      <c r="B15" s="22" t="s">
        <v>73</v>
      </c>
      <c r="C15" s="22" t="s">
        <v>254</v>
      </c>
      <c r="D15" s="22" t="s">
        <v>223</v>
      </c>
      <c r="E15" s="22" t="s">
        <v>255</v>
      </c>
      <c r="F15" s="44" t="s">
        <v>154</v>
      </c>
      <c r="G15" s="22" t="s">
        <v>256</v>
      </c>
      <c r="H15" s="22" t="s">
        <v>257</v>
      </c>
      <c r="I15" s="22">
        <v>5</v>
      </c>
    </row>
    <row r="16" spans="1:9" x14ac:dyDescent="0.3">
      <c r="A16" s="22"/>
      <c r="B16" s="22"/>
      <c r="C16" s="22"/>
      <c r="D16" s="22"/>
      <c r="E16" s="22"/>
      <c r="F16" s="22"/>
      <c r="G16" s="22"/>
      <c r="H16" s="22"/>
      <c r="I16" s="22"/>
    </row>
    <row r="17" spans="1:9" x14ac:dyDescent="0.3">
      <c r="A17" s="22"/>
      <c r="B17" s="22"/>
      <c r="C17" s="22"/>
      <c r="D17" s="22"/>
      <c r="E17" s="22"/>
      <c r="F17" s="22"/>
      <c r="G17" s="22"/>
      <c r="H17" s="22"/>
      <c r="I17" s="22"/>
    </row>
    <row r="18" spans="1:9" x14ac:dyDescent="0.3">
      <c r="A18" s="22"/>
      <c r="B18" s="22"/>
      <c r="C18" s="22"/>
      <c r="D18" s="22"/>
      <c r="E18" s="22"/>
      <c r="F18" s="22"/>
      <c r="G18" s="22"/>
      <c r="H18" s="22"/>
      <c r="I18" s="22"/>
    </row>
    <row r="19" spans="1:9" x14ac:dyDescent="0.3">
      <c r="A19" s="22"/>
      <c r="B19" s="22"/>
      <c r="C19" s="22"/>
      <c r="D19" s="22"/>
      <c r="E19" s="22"/>
      <c r="F19" s="22"/>
      <c r="G19" s="22"/>
      <c r="H19" s="22"/>
      <c r="I19" s="22"/>
    </row>
    <row r="20" spans="1:9" x14ac:dyDescent="0.3">
      <c r="A20" s="22"/>
      <c r="B20" s="22"/>
      <c r="C20" s="22"/>
      <c r="D20" s="22"/>
      <c r="E20" s="22"/>
      <c r="F20" s="22"/>
      <c r="G20" s="22"/>
      <c r="H20" s="22"/>
      <c r="I20" s="22"/>
    </row>
    <row r="21" spans="1:9" x14ac:dyDescent="0.3">
      <c r="A21" s="22"/>
      <c r="B21" s="22"/>
      <c r="C21" s="22"/>
      <c r="D21" s="22"/>
      <c r="E21" s="22"/>
      <c r="F21" s="22"/>
      <c r="G21" s="22"/>
      <c r="H21" s="22"/>
      <c r="I21" s="22"/>
    </row>
    <row r="22" spans="1:9" x14ac:dyDescent="0.3">
      <c r="A22" s="22"/>
      <c r="B22" s="22"/>
      <c r="C22" s="22"/>
      <c r="D22" s="22"/>
      <c r="E22" s="22"/>
      <c r="F22" s="22"/>
      <c r="G22" s="22"/>
      <c r="H22" s="22"/>
      <c r="I22" s="22"/>
    </row>
    <row r="23" spans="1:9" x14ac:dyDescent="0.3">
      <c r="A23" s="22"/>
      <c r="B23" s="22"/>
      <c r="C23" s="22"/>
      <c r="D23" s="22"/>
      <c r="E23" s="22"/>
      <c r="F23" s="22"/>
      <c r="G23" s="22"/>
      <c r="H23" s="22"/>
      <c r="I23" s="22"/>
    </row>
    <row r="24" spans="1:9" x14ac:dyDescent="0.3">
      <c r="A24" s="22"/>
      <c r="B24" s="22"/>
      <c r="C24" s="22"/>
      <c r="D24" s="22"/>
      <c r="E24" s="22"/>
      <c r="F24" s="22"/>
      <c r="G24" s="22"/>
      <c r="H24" s="22"/>
      <c r="I24" s="22"/>
    </row>
    <row r="25" spans="1:9" x14ac:dyDescent="0.3">
      <c r="A25" s="22"/>
      <c r="B25" s="22"/>
      <c r="C25" s="22"/>
      <c r="D25" s="22"/>
      <c r="E25" s="22"/>
      <c r="F25" s="22"/>
      <c r="G25" s="22"/>
      <c r="H25" s="22"/>
      <c r="I25" s="22"/>
    </row>
    <row r="26" spans="1:9" x14ac:dyDescent="0.3">
      <c r="A26" s="22"/>
      <c r="B26" s="22"/>
      <c r="C26" s="22"/>
      <c r="D26" s="22"/>
      <c r="E26" s="22"/>
      <c r="F26" s="22"/>
      <c r="G26" s="22"/>
      <c r="H26" s="22"/>
      <c r="I26" s="22"/>
    </row>
    <row r="27" spans="1:9" x14ac:dyDescent="0.3">
      <c r="A27" s="22"/>
      <c r="B27" s="22"/>
      <c r="C27" s="22"/>
      <c r="D27" s="22"/>
      <c r="E27" s="22"/>
      <c r="F27" s="22"/>
      <c r="G27" s="22"/>
      <c r="H27" s="22"/>
      <c r="I27" s="22"/>
    </row>
    <row r="28" spans="1:9" x14ac:dyDescent="0.3">
      <c r="A28" s="22"/>
      <c r="B28" s="22"/>
      <c r="C28" s="22"/>
      <c r="D28" s="22"/>
      <c r="E28" s="22"/>
      <c r="F28" s="22"/>
      <c r="G28" s="22"/>
      <c r="H28" s="22"/>
      <c r="I28" s="22"/>
    </row>
    <row r="29" spans="1:9" x14ac:dyDescent="0.3">
      <c r="A29" s="22"/>
      <c r="B29" s="22"/>
      <c r="C29" s="22"/>
      <c r="D29" s="22"/>
      <c r="E29" s="22"/>
      <c r="F29" s="22"/>
      <c r="G29" s="22"/>
      <c r="H29" s="22"/>
      <c r="I29" s="22"/>
    </row>
    <row r="30" spans="1:9" x14ac:dyDescent="0.3">
      <c r="A30" s="22"/>
      <c r="B30" s="22"/>
      <c r="C30" s="22"/>
      <c r="D30" s="22"/>
      <c r="E30" s="22"/>
      <c r="F30" s="22"/>
      <c r="G30" s="22"/>
      <c r="H30" s="22"/>
      <c r="I30" s="22"/>
    </row>
    <row r="31" spans="1:9" x14ac:dyDescent="0.3">
      <c r="A31" s="22"/>
      <c r="B31" s="22"/>
      <c r="C31" s="22"/>
      <c r="D31" s="22"/>
      <c r="E31" s="22"/>
      <c r="F31" s="22"/>
      <c r="G31" s="22"/>
      <c r="H31" s="22"/>
      <c r="I31" s="22"/>
    </row>
    <row r="32" spans="1:9" x14ac:dyDescent="0.3">
      <c r="A32" s="22"/>
      <c r="B32" s="22"/>
      <c r="C32" s="22"/>
      <c r="D32" s="22"/>
      <c r="E32" s="22"/>
      <c r="F32" s="22"/>
      <c r="G32" s="22"/>
      <c r="H32" s="22"/>
      <c r="I32" s="22"/>
    </row>
    <row r="33" spans="1:9" x14ac:dyDescent="0.3">
      <c r="A33" s="22"/>
      <c r="B33" s="22"/>
      <c r="C33" s="22"/>
      <c r="D33" s="22"/>
      <c r="E33" s="22"/>
      <c r="F33" s="22"/>
      <c r="G33" s="22"/>
      <c r="H33" s="22"/>
      <c r="I33" s="22"/>
    </row>
    <row r="34" spans="1:9" x14ac:dyDescent="0.3">
      <c r="A34" s="22"/>
      <c r="B34" s="22"/>
      <c r="C34" s="22"/>
      <c r="D34" s="22"/>
      <c r="E34" s="22"/>
      <c r="F34" s="22"/>
      <c r="G34" s="22"/>
      <c r="H34" s="22"/>
      <c r="I34" s="22"/>
    </row>
    <row r="35" spans="1:9" x14ac:dyDescent="0.3">
      <c r="A35" s="22"/>
      <c r="B35" s="22"/>
      <c r="C35" s="22"/>
      <c r="D35" s="22"/>
      <c r="E35" s="22"/>
      <c r="F35" s="22"/>
      <c r="G35" s="22"/>
      <c r="H35" s="22"/>
      <c r="I35" s="22"/>
    </row>
    <row r="36" spans="1:9" x14ac:dyDescent="0.3">
      <c r="A36" s="22"/>
      <c r="B36" s="22"/>
      <c r="C36" s="22"/>
      <c r="D36" s="22"/>
      <c r="E36" s="22"/>
      <c r="F36" s="22"/>
      <c r="G36" s="22"/>
      <c r="H36" s="22"/>
      <c r="I36" s="22"/>
    </row>
    <row r="37" spans="1:9" x14ac:dyDescent="0.3">
      <c r="A37" s="22"/>
      <c r="B37" s="22"/>
      <c r="C37" s="22"/>
      <c r="D37" s="22"/>
      <c r="E37" s="22"/>
      <c r="F37" s="22"/>
      <c r="G37" s="22"/>
      <c r="H37" s="22"/>
      <c r="I37" s="22"/>
    </row>
    <row r="38" spans="1:9" x14ac:dyDescent="0.3">
      <c r="A38" s="22"/>
      <c r="B38" s="22"/>
      <c r="C38" s="22"/>
      <c r="D38" s="22"/>
      <c r="E38" s="22"/>
      <c r="F38" s="22"/>
      <c r="G38" s="22"/>
      <c r="H38" s="22"/>
      <c r="I38" s="22"/>
    </row>
    <row r="39" spans="1:9" x14ac:dyDescent="0.3">
      <c r="A39" s="22"/>
      <c r="B39" s="22"/>
      <c r="C39" s="22"/>
      <c r="D39" s="22"/>
      <c r="E39" s="22"/>
      <c r="F39" s="22"/>
      <c r="G39" s="22"/>
      <c r="H39" s="22"/>
      <c r="I39" s="22"/>
    </row>
    <row r="40" spans="1:9" x14ac:dyDescent="0.3">
      <c r="A40" s="22"/>
      <c r="B40" s="22"/>
      <c r="C40" s="22"/>
      <c r="D40" s="22"/>
      <c r="E40" s="22"/>
      <c r="F40" s="22"/>
      <c r="G40" s="22"/>
      <c r="H40" s="22"/>
      <c r="I40" s="22"/>
    </row>
    <row r="41" spans="1:9" x14ac:dyDescent="0.3">
      <c r="A41" s="22"/>
      <c r="B41" s="22"/>
      <c r="C41" s="22"/>
      <c r="D41" s="22"/>
      <c r="E41" s="22"/>
      <c r="F41" s="22"/>
      <c r="G41" s="22"/>
      <c r="H41" s="22"/>
      <c r="I41" s="22"/>
    </row>
    <row r="42" spans="1:9" x14ac:dyDescent="0.3">
      <c r="A42" s="22"/>
      <c r="B42" s="22"/>
      <c r="C42" s="22"/>
      <c r="D42" s="22"/>
      <c r="E42" s="22"/>
      <c r="F42" s="22"/>
      <c r="G42" s="22"/>
      <c r="H42" s="22"/>
      <c r="I42" s="22"/>
    </row>
    <row r="43" spans="1:9" x14ac:dyDescent="0.3">
      <c r="A43" s="22"/>
      <c r="B43" s="22"/>
      <c r="C43" s="22"/>
      <c r="D43" s="22"/>
      <c r="E43" s="22"/>
      <c r="F43" s="22"/>
      <c r="G43" s="22"/>
      <c r="H43" s="22"/>
      <c r="I43" s="22"/>
    </row>
    <row r="44" spans="1:9" x14ac:dyDescent="0.3">
      <c r="A44" s="22"/>
      <c r="B44" s="22"/>
      <c r="C44" s="22"/>
      <c r="D44" s="22"/>
      <c r="E44" s="22"/>
      <c r="F44" s="22"/>
      <c r="G44" s="22"/>
      <c r="H44" s="22"/>
      <c r="I44" s="22"/>
    </row>
    <row r="45" spans="1:9" ht="28.8" x14ac:dyDescent="0.3">
      <c r="A45" s="41" t="s">
        <v>258</v>
      </c>
      <c r="B45" s="41" t="s">
        <v>259</v>
      </c>
      <c r="C45" s="41" t="s">
        <v>260</v>
      </c>
      <c r="D45" s="41" t="s">
        <v>261</v>
      </c>
      <c r="E45" s="41"/>
      <c r="F45" s="41"/>
      <c r="G45" s="41"/>
      <c r="H45" s="41"/>
      <c r="I45" s="41"/>
    </row>
    <row r="46" spans="1:9" ht="43.2" x14ac:dyDescent="0.3">
      <c r="A46" s="41" t="s">
        <v>258</v>
      </c>
      <c r="B46" s="41" t="s">
        <v>262</v>
      </c>
      <c r="C46" s="41" t="s">
        <v>263</v>
      </c>
      <c r="D46" s="41" t="s">
        <v>264</v>
      </c>
      <c r="E46" s="41"/>
      <c r="F46" s="41"/>
      <c r="G46" s="41"/>
      <c r="H46" s="41"/>
      <c r="I46" s="41"/>
    </row>
    <row r="47" spans="1:9" ht="57.6" x14ac:dyDescent="0.3">
      <c r="A47" s="41" t="s">
        <v>265</v>
      </c>
      <c r="B47" s="41" t="s">
        <v>266</v>
      </c>
      <c r="C47" s="41" t="s">
        <v>267</v>
      </c>
      <c r="D47" s="41" t="s">
        <v>268</v>
      </c>
      <c r="E47" s="41"/>
      <c r="F47" s="41"/>
      <c r="G47" s="41"/>
      <c r="H47" s="41"/>
      <c r="I47" s="41"/>
    </row>
    <row r="48" spans="1:9" ht="57.6" x14ac:dyDescent="0.3">
      <c r="A48" s="41" t="s">
        <v>269</v>
      </c>
      <c r="B48" s="41" t="s">
        <v>270</v>
      </c>
      <c r="C48" s="41" t="s">
        <v>271</v>
      </c>
      <c r="D48" s="41" t="s">
        <v>272</v>
      </c>
      <c r="E48" s="41"/>
      <c r="F48" s="41"/>
      <c r="G48" s="41"/>
      <c r="H48" s="41"/>
      <c r="I48" s="41"/>
    </row>
    <row r="49" spans="1:9" ht="57.6" x14ac:dyDescent="0.3">
      <c r="A49" s="41" t="s">
        <v>273</v>
      </c>
      <c r="B49" s="41" t="s">
        <v>274</v>
      </c>
      <c r="C49" s="41" t="s">
        <v>275</v>
      </c>
      <c r="D49" s="41" t="s">
        <v>276</v>
      </c>
      <c r="E49" s="41"/>
      <c r="F49" s="41"/>
      <c r="G49" s="41"/>
      <c r="H49" s="41"/>
      <c r="I49" s="41"/>
    </row>
  </sheetData>
  <mergeCells count="1">
    <mergeCell ref="A1:I2"/>
  </mergeCells>
  <dataValidations count="1">
    <dataValidation type="whole" allowBlank="1" sqref="I5:I44" xr:uid="{00000000-0002-0000-0600-000000000000}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showGridLines="0" topLeftCell="A7" workbookViewId="0">
      <selection sqref="A1:G2"/>
    </sheetView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44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129.6" customHeight="1" x14ac:dyDescent="0.3">
      <c r="A4" s="30" t="s">
        <v>277</v>
      </c>
      <c r="B4" s="13" t="s">
        <v>45</v>
      </c>
      <c r="C4" s="41"/>
      <c r="D4" s="2" t="s">
        <v>278</v>
      </c>
      <c r="E4" s="2" t="s">
        <v>279</v>
      </c>
    </row>
    <row r="5" spans="1:7" ht="100.8" customHeight="1" x14ac:dyDescent="0.3">
      <c r="A5" s="30" t="s">
        <v>280</v>
      </c>
      <c r="B5" s="13" t="s">
        <v>46</v>
      </c>
      <c r="C5" s="41"/>
      <c r="D5" s="25" t="s">
        <v>281</v>
      </c>
      <c r="E5" s="4">
        <f>Industry_Data!C5</f>
        <v>36.69</v>
      </c>
    </row>
    <row r="6" spans="1:7" ht="72" customHeight="1" x14ac:dyDescent="0.3">
      <c r="A6" s="30" t="s">
        <v>282</v>
      </c>
      <c r="B6" s="13" t="s">
        <v>47</v>
      </c>
      <c r="C6" s="41"/>
      <c r="D6" s="25" t="s">
        <v>283</v>
      </c>
      <c r="E6" s="4">
        <f>Industry_Data!D5</f>
        <v>58.65</v>
      </c>
    </row>
    <row r="7" spans="1:7" ht="86.4" customHeight="1" x14ac:dyDescent="0.3">
      <c r="A7" s="30" t="s">
        <v>284</v>
      </c>
      <c r="B7" s="13" t="s">
        <v>48</v>
      </c>
      <c r="C7" s="41"/>
      <c r="D7" s="6" t="s">
        <v>109</v>
      </c>
      <c r="E7" s="31">
        <f>Industry_Data!E5</f>
        <v>9.8358362504523011E-2</v>
      </c>
    </row>
    <row r="8" spans="1:7" x14ac:dyDescent="0.3">
      <c r="D8" s="6" t="s">
        <v>285</v>
      </c>
      <c r="E8" s="31">
        <f>Industry_Data!O5</f>
        <v>0.43121631814035211</v>
      </c>
    </row>
    <row r="9" spans="1:7" x14ac:dyDescent="0.3">
      <c r="D9" s="6" t="s">
        <v>172</v>
      </c>
      <c r="E9" s="32">
        <f>Industry_Data!P5</f>
        <v>6</v>
      </c>
    </row>
    <row r="10" spans="1:7" x14ac:dyDescent="0.3">
      <c r="D10" s="6" t="s">
        <v>122</v>
      </c>
      <c r="E10" s="4" t="str">
        <f>Industry_Data!Q5</f>
        <v>Emerging / Niche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294</v>
      </c>
      <c r="D12" s="39" t="s">
        <v>180</v>
      </c>
      <c r="E12" s="24" t="s">
        <v>295</v>
      </c>
      <c r="F12" s="22">
        <v>4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298</v>
      </c>
      <c r="D13" s="39" t="s">
        <v>180</v>
      </c>
      <c r="E13" s="24" t="s">
        <v>299</v>
      </c>
      <c r="F13" s="22">
        <v>4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302</v>
      </c>
      <c r="D14" s="39" t="s">
        <v>180</v>
      </c>
      <c r="E14" s="24" t="s">
        <v>303</v>
      </c>
      <c r="F14" s="22">
        <v>4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306</v>
      </c>
      <c r="D15" s="39" t="s">
        <v>180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310</v>
      </c>
      <c r="D16" s="39" t="s">
        <v>180</v>
      </c>
      <c r="E16" s="24" t="s">
        <v>311</v>
      </c>
      <c r="F16" s="22">
        <v>4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180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318</v>
      </c>
      <c r="D18" s="39" t="s">
        <v>180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57.6" x14ac:dyDescent="0.3">
      <c r="A21" s="33" t="s">
        <v>325</v>
      </c>
      <c r="B21" s="33">
        <v>9</v>
      </c>
      <c r="C21" s="22" t="s">
        <v>326</v>
      </c>
      <c r="E21" s="33" t="s">
        <v>327</v>
      </c>
      <c r="F21" s="33">
        <v>7</v>
      </c>
      <c r="G21" s="22" t="s">
        <v>328</v>
      </c>
    </row>
    <row r="22" spans="1:7" ht="57.6" x14ac:dyDescent="0.3">
      <c r="A22" s="33" t="s">
        <v>329</v>
      </c>
      <c r="B22" s="33">
        <v>8</v>
      </c>
      <c r="C22" s="22" t="s">
        <v>330</v>
      </c>
      <c r="E22" s="33" t="s">
        <v>331</v>
      </c>
      <c r="F22" s="33">
        <v>8</v>
      </c>
      <c r="G22" s="22" t="s">
        <v>332</v>
      </c>
    </row>
    <row r="23" spans="1:7" ht="57.6" x14ac:dyDescent="0.3">
      <c r="A23" s="33" t="s">
        <v>333</v>
      </c>
      <c r="B23" s="33">
        <v>8</v>
      </c>
      <c r="C23" s="22" t="s">
        <v>334</v>
      </c>
      <c r="E23" s="33" t="s">
        <v>335</v>
      </c>
      <c r="F23" s="33">
        <v>6</v>
      </c>
      <c r="G23" s="22" t="s">
        <v>336</v>
      </c>
    </row>
    <row r="24" spans="1:7" ht="57.6" x14ac:dyDescent="0.3">
      <c r="A24" s="33" t="s">
        <v>337</v>
      </c>
      <c r="B24" s="33">
        <v>7</v>
      </c>
      <c r="C24" s="22" t="s">
        <v>338</v>
      </c>
      <c r="E24" s="33" t="s">
        <v>339</v>
      </c>
      <c r="F24" s="33">
        <v>7</v>
      </c>
      <c r="G24" s="22" t="s">
        <v>340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57.6" x14ac:dyDescent="0.3">
      <c r="A30" s="13" t="s">
        <v>345</v>
      </c>
      <c r="B30" s="33" t="s">
        <v>346</v>
      </c>
      <c r="C30" s="22" t="s">
        <v>347</v>
      </c>
      <c r="E30" s="13" t="s">
        <v>348</v>
      </c>
      <c r="F30" s="33" t="s">
        <v>349</v>
      </c>
      <c r="G30" s="22" t="s">
        <v>350</v>
      </c>
    </row>
    <row r="31" spans="1:7" ht="57.6" x14ac:dyDescent="0.3">
      <c r="A31" s="13" t="s">
        <v>351</v>
      </c>
      <c r="B31" s="33" t="s">
        <v>346</v>
      </c>
      <c r="C31" s="22" t="s">
        <v>352</v>
      </c>
      <c r="E31" s="13" t="s">
        <v>353</v>
      </c>
      <c r="F31" s="33" t="s">
        <v>349</v>
      </c>
      <c r="G31" s="22" t="s">
        <v>354</v>
      </c>
    </row>
    <row r="32" spans="1:7" ht="57.6" x14ac:dyDescent="0.3">
      <c r="A32" s="13" t="s">
        <v>355</v>
      </c>
      <c r="B32" s="33" t="s">
        <v>346</v>
      </c>
      <c r="C32" s="22" t="s">
        <v>356</v>
      </c>
      <c r="E32" s="13" t="s">
        <v>357</v>
      </c>
      <c r="F32" s="33" t="s">
        <v>346</v>
      </c>
      <c r="G32" s="22" t="s">
        <v>358</v>
      </c>
    </row>
    <row r="33" spans="1:7" ht="43.2" x14ac:dyDescent="0.3">
      <c r="A33" s="13" t="s">
        <v>359</v>
      </c>
      <c r="B33" s="33" t="s">
        <v>349</v>
      </c>
      <c r="C33" s="22" t="s">
        <v>360</v>
      </c>
      <c r="E33" s="13" t="s">
        <v>361</v>
      </c>
      <c r="F33" s="33" t="s">
        <v>346</v>
      </c>
      <c r="G33" s="22" t="s">
        <v>362</v>
      </c>
    </row>
    <row r="34" spans="1:7" ht="72" x14ac:dyDescent="0.3">
      <c r="A34" s="13" t="s">
        <v>363</v>
      </c>
      <c r="B34" s="33" t="s">
        <v>346</v>
      </c>
      <c r="C34" s="22" t="s">
        <v>364</v>
      </c>
      <c r="E34" s="13" t="s">
        <v>365</v>
      </c>
      <c r="F34" s="33" t="s">
        <v>366</v>
      </c>
      <c r="G34" s="22" t="s">
        <v>367</v>
      </c>
    </row>
    <row r="35" spans="1:7" ht="72" x14ac:dyDescent="0.3">
      <c r="A35" s="13" t="s">
        <v>368</v>
      </c>
      <c r="B35" s="33" t="s">
        <v>346</v>
      </c>
      <c r="C35" s="22" t="s">
        <v>369</v>
      </c>
      <c r="E35" s="13" t="s">
        <v>370</v>
      </c>
      <c r="F35" s="33" t="s">
        <v>346</v>
      </c>
      <c r="G35" s="22" t="s">
        <v>371</v>
      </c>
    </row>
    <row r="37" spans="1:7" ht="72" x14ac:dyDescent="0.3">
      <c r="C37" s="41" t="s">
        <v>372</v>
      </c>
    </row>
    <row r="38" spans="1:7" ht="72" customHeight="1" x14ac:dyDescent="0.3">
      <c r="A38" s="34" t="s">
        <v>373</v>
      </c>
      <c r="B38" s="35" t="s">
        <v>374</v>
      </c>
      <c r="C38" s="41" t="s">
        <v>375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50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115.2" customHeight="1" x14ac:dyDescent="0.3">
      <c r="A4" s="30" t="s">
        <v>277</v>
      </c>
      <c r="B4" s="13" t="s">
        <v>51</v>
      </c>
      <c r="C4" s="41"/>
      <c r="D4" s="2" t="s">
        <v>278</v>
      </c>
      <c r="E4" s="2" t="s">
        <v>279</v>
      </c>
    </row>
    <row r="5" spans="1:7" ht="86.4" customHeight="1" x14ac:dyDescent="0.3">
      <c r="A5" s="30" t="s">
        <v>280</v>
      </c>
      <c r="B5" s="13" t="s">
        <v>52</v>
      </c>
      <c r="C5" s="41"/>
      <c r="D5" s="6" t="s">
        <v>281</v>
      </c>
      <c r="E5" s="4">
        <f>Industry_Data!C6</f>
        <v>124.59</v>
      </c>
    </row>
    <row r="6" spans="1:7" ht="43.2" customHeight="1" x14ac:dyDescent="0.3">
      <c r="A6" s="30" t="s">
        <v>282</v>
      </c>
      <c r="B6" s="13" t="s">
        <v>53</v>
      </c>
      <c r="C6" s="41"/>
      <c r="D6" s="6" t="s">
        <v>283</v>
      </c>
      <c r="E6" s="4">
        <f>Industry_Data!D6</f>
        <v>193.77</v>
      </c>
    </row>
    <row r="7" spans="1:7" ht="57.6" customHeight="1" x14ac:dyDescent="0.3">
      <c r="A7" s="30" t="s">
        <v>284</v>
      </c>
      <c r="B7" s="13" t="s">
        <v>54</v>
      </c>
      <c r="C7" s="41"/>
      <c r="D7" s="6" t="s">
        <v>109</v>
      </c>
      <c r="E7" s="31">
        <f>Industry_Data!E6</f>
        <v>9.2347126785064404E-2</v>
      </c>
    </row>
    <row r="8" spans="1:7" x14ac:dyDescent="0.3">
      <c r="D8" s="6" t="s">
        <v>285</v>
      </c>
      <c r="E8" s="31">
        <f>Industry_Data!O6</f>
        <v>0.47974133914608635</v>
      </c>
    </row>
    <row r="9" spans="1:7" x14ac:dyDescent="0.3">
      <c r="D9" s="6" t="s">
        <v>172</v>
      </c>
      <c r="E9" s="32">
        <f>Industry_Data!P6</f>
        <v>4</v>
      </c>
    </row>
    <row r="10" spans="1:7" x14ac:dyDescent="0.3">
      <c r="D10" s="6" t="s">
        <v>122</v>
      </c>
      <c r="E10" s="4" t="str">
        <f>Industry_Data!Q6</f>
        <v>Watchlist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378</v>
      </c>
      <c r="D12" s="39" t="s">
        <v>184</v>
      </c>
      <c r="E12" s="24" t="s">
        <v>295</v>
      </c>
      <c r="F12" s="22">
        <v>4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379</v>
      </c>
      <c r="D13" s="39" t="s">
        <v>184</v>
      </c>
      <c r="E13" s="24" t="s">
        <v>299</v>
      </c>
      <c r="F13" s="22">
        <v>4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380</v>
      </c>
      <c r="D14" s="39" t="s">
        <v>184</v>
      </c>
      <c r="E14" s="24" t="s">
        <v>303</v>
      </c>
      <c r="F14" s="22">
        <v>4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381</v>
      </c>
      <c r="D15" s="39" t="s">
        <v>184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382</v>
      </c>
      <c r="D16" s="39" t="s">
        <v>184</v>
      </c>
      <c r="E16" s="24" t="s">
        <v>311</v>
      </c>
      <c r="F16" s="22">
        <v>4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184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383</v>
      </c>
      <c r="D18" s="39" t="s">
        <v>184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57.6" x14ac:dyDescent="0.3">
      <c r="A21" s="33" t="s">
        <v>384</v>
      </c>
      <c r="B21" s="33">
        <v>8</v>
      </c>
      <c r="C21" s="22" t="s">
        <v>385</v>
      </c>
      <c r="E21" s="33" t="s">
        <v>386</v>
      </c>
      <c r="F21" s="33">
        <v>8</v>
      </c>
      <c r="G21" s="22" t="s">
        <v>387</v>
      </c>
    </row>
    <row r="22" spans="1:7" ht="57.6" x14ac:dyDescent="0.3">
      <c r="A22" s="33" t="s">
        <v>388</v>
      </c>
      <c r="B22" s="33">
        <v>8</v>
      </c>
      <c r="C22" s="22" t="s">
        <v>389</v>
      </c>
      <c r="E22" s="33" t="s">
        <v>390</v>
      </c>
      <c r="F22" s="33">
        <v>7</v>
      </c>
      <c r="G22" s="22" t="s">
        <v>391</v>
      </c>
    </row>
    <row r="23" spans="1:7" ht="43.2" x14ac:dyDescent="0.3">
      <c r="A23" s="33" t="s">
        <v>392</v>
      </c>
      <c r="B23" s="33">
        <v>8</v>
      </c>
      <c r="C23" s="22" t="s">
        <v>393</v>
      </c>
      <c r="E23" s="33" t="s">
        <v>394</v>
      </c>
      <c r="F23" s="33">
        <v>6</v>
      </c>
      <c r="G23" s="22" t="s">
        <v>395</v>
      </c>
    </row>
    <row r="24" spans="1:7" ht="57.6" x14ac:dyDescent="0.3">
      <c r="A24" s="33" t="s">
        <v>396</v>
      </c>
      <c r="B24" s="33">
        <v>7</v>
      </c>
      <c r="C24" s="22" t="s">
        <v>397</v>
      </c>
      <c r="E24" s="33" t="s">
        <v>398</v>
      </c>
      <c r="F24" s="33">
        <v>7</v>
      </c>
      <c r="G24" s="22" t="s">
        <v>399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57.6" x14ac:dyDescent="0.3">
      <c r="A30" s="13" t="s">
        <v>345</v>
      </c>
      <c r="B30" s="33" t="s">
        <v>346</v>
      </c>
      <c r="C30" s="22" t="s">
        <v>400</v>
      </c>
      <c r="E30" s="13" t="s">
        <v>348</v>
      </c>
      <c r="F30" s="33" t="s">
        <v>349</v>
      </c>
      <c r="G30" s="22" t="s">
        <v>401</v>
      </c>
    </row>
    <row r="31" spans="1:7" ht="57.6" x14ac:dyDescent="0.3">
      <c r="A31" s="13" t="s">
        <v>351</v>
      </c>
      <c r="B31" s="33" t="s">
        <v>346</v>
      </c>
      <c r="C31" s="22" t="s">
        <v>402</v>
      </c>
      <c r="E31" s="13" t="s">
        <v>353</v>
      </c>
      <c r="F31" s="33" t="s">
        <v>349</v>
      </c>
      <c r="G31" s="22" t="s">
        <v>403</v>
      </c>
    </row>
    <row r="32" spans="1:7" ht="72" x14ac:dyDescent="0.3">
      <c r="A32" s="13" t="s">
        <v>355</v>
      </c>
      <c r="B32" s="33" t="s">
        <v>346</v>
      </c>
      <c r="C32" s="22" t="s">
        <v>404</v>
      </c>
      <c r="E32" s="13" t="s">
        <v>357</v>
      </c>
      <c r="F32" s="33" t="s">
        <v>346</v>
      </c>
      <c r="G32" s="22" t="s">
        <v>405</v>
      </c>
    </row>
    <row r="33" spans="1:7" ht="57.6" x14ac:dyDescent="0.3">
      <c r="A33" s="13" t="s">
        <v>359</v>
      </c>
      <c r="B33" s="33" t="s">
        <v>349</v>
      </c>
      <c r="C33" s="22" t="s">
        <v>406</v>
      </c>
      <c r="E33" s="13" t="s">
        <v>361</v>
      </c>
      <c r="F33" s="33" t="s">
        <v>346</v>
      </c>
      <c r="G33" s="22" t="s">
        <v>407</v>
      </c>
    </row>
    <row r="34" spans="1:7" ht="72" x14ac:dyDescent="0.3">
      <c r="A34" s="13" t="s">
        <v>363</v>
      </c>
      <c r="B34" s="33" t="s">
        <v>346</v>
      </c>
      <c r="C34" s="22" t="s">
        <v>408</v>
      </c>
      <c r="E34" s="13" t="s">
        <v>365</v>
      </c>
      <c r="F34" s="33" t="s">
        <v>346</v>
      </c>
      <c r="G34" s="22" t="s">
        <v>409</v>
      </c>
    </row>
    <row r="35" spans="1:7" ht="57.6" x14ac:dyDescent="0.3">
      <c r="A35" s="13" t="s">
        <v>368</v>
      </c>
      <c r="B35" s="33" t="s">
        <v>366</v>
      </c>
      <c r="C35" s="22" t="s">
        <v>410</v>
      </c>
      <c r="E35" s="13" t="s">
        <v>370</v>
      </c>
      <c r="F35" s="33" t="s">
        <v>346</v>
      </c>
      <c r="G35" s="22" t="s">
        <v>411</v>
      </c>
    </row>
    <row r="37" spans="1:7" ht="72" x14ac:dyDescent="0.3">
      <c r="C37" s="41" t="s">
        <v>412</v>
      </c>
    </row>
    <row r="38" spans="1:7" ht="72" customHeight="1" x14ac:dyDescent="0.3">
      <c r="A38" s="34" t="s">
        <v>373</v>
      </c>
      <c r="B38" s="35" t="s">
        <v>374</v>
      </c>
      <c r="C38" s="41" t="s">
        <v>413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56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115.2" customHeight="1" x14ac:dyDescent="0.3">
      <c r="A4" s="30" t="s">
        <v>277</v>
      </c>
      <c r="B4" s="13" t="s">
        <v>57</v>
      </c>
      <c r="C4" s="41"/>
      <c r="D4" s="2" t="s">
        <v>278</v>
      </c>
      <c r="E4" s="2" t="s">
        <v>279</v>
      </c>
    </row>
    <row r="5" spans="1:7" ht="57.6" customHeight="1" x14ac:dyDescent="0.3">
      <c r="A5" s="30" t="s">
        <v>280</v>
      </c>
      <c r="B5" s="13" t="s">
        <v>58</v>
      </c>
      <c r="C5" s="41"/>
      <c r="D5" s="6" t="s">
        <v>281</v>
      </c>
      <c r="E5" s="4">
        <f>Industry_Data!C7</f>
        <v>120.79</v>
      </c>
    </row>
    <row r="6" spans="1:7" ht="57.6" customHeight="1" x14ac:dyDescent="0.3">
      <c r="A6" s="30" t="s">
        <v>282</v>
      </c>
      <c r="B6" s="13" t="s">
        <v>59</v>
      </c>
      <c r="C6" s="41"/>
      <c r="D6" s="6" t="s">
        <v>283</v>
      </c>
      <c r="E6" s="4">
        <f>Industry_Data!D7</f>
        <v>151.5</v>
      </c>
    </row>
    <row r="7" spans="1:7" ht="57.6" customHeight="1" x14ac:dyDescent="0.3">
      <c r="A7" s="30" t="s">
        <v>284</v>
      </c>
      <c r="B7" s="13" t="s">
        <v>60</v>
      </c>
      <c r="C7" s="41"/>
      <c r="D7" s="6" t="s">
        <v>109</v>
      </c>
      <c r="E7" s="31">
        <f>Industry_Data!E7</f>
        <v>4.634843797002608E-2</v>
      </c>
    </row>
    <row r="8" spans="1:7" x14ac:dyDescent="0.3">
      <c r="D8" s="6" t="s">
        <v>285</v>
      </c>
      <c r="E8" s="31">
        <f>Industry_Data!O7</f>
        <v>0.44585172624091363</v>
      </c>
    </row>
    <row r="9" spans="1:7" x14ac:dyDescent="0.3">
      <c r="D9" s="6" t="s">
        <v>172</v>
      </c>
      <c r="E9" s="32">
        <f>Industry_Data!P7</f>
        <v>5</v>
      </c>
    </row>
    <row r="10" spans="1:7" x14ac:dyDescent="0.3">
      <c r="D10" s="6" t="s">
        <v>122</v>
      </c>
      <c r="E10" s="4" t="str">
        <f>Industry_Data!Q7</f>
        <v>Emerging / Niche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414</v>
      </c>
      <c r="D12" s="39" t="s">
        <v>145</v>
      </c>
      <c r="E12" s="24" t="s">
        <v>295</v>
      </c>
      <c r="F12" s="22">
        <v>4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415</v>
      </c>
      <c r="D13" s="39" t="s">
        <v>145</v>
      </c>
      <c r="E13" s="24" t="s">
        <v>299</v>
      </c>
      <c r="F13" s="22">
        <v>4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416</v>
      </c>
      <c r="D14" s="39" t="s">
        <v>145</v>
      </c>
      <c r="E14" s="24" t="s">
        <v>303</v>
      </c>
      <c r="F14" s="22">
        <v>4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417</v>
      </c>
      <c r="D15" s="39" t="s">
        <v>145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418</v>
      </c>
      <c r="D16" s="39" t="s">
        <v>145</v>
      </c>
      <c r="E16" s="24" t="s">
        <v>311</v>
      </c>
      <c r="F16" s="22">
        <v>4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145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419</v>
      </c>
      <c r="D18" s="39" t="s">
        <v>145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57.6" x14ac:dyDescent="0.3">
      <c r="A21" s="33" t="s">
        <v>420</v>
      </c>
      <c r="B21" s="33">
        <v>8</v>
      </c>
      <c r="C21" s="22" t="s">
        <v>421</v>
      </c>
      <c r="E21" s="33" t="s">
        <v>422</v>
      </c>
      <c r="F21" s="33">
        <v>8</v>
      </c>
      <c r="G21" s="22" t="s">
        <v>423</v>
      </c>
    </row>
    <row r="22" spans="1:7" ht="43.2" x14ac:dyDescent="0.3">
      <c r="A22" s="33" t="s">
        <v>424</v>
      </c>
      <c r="B22" s="33">
        <v>8</v>
      </c>
      <c r="C22" s="22" t="s">
        <v>425</v>
      </c>
      <c r="E22" s="33" t="s">
        <v>426</v>
      </c>
      <c r="F22" s="33">
        <v>7</v>
      </c>
      <c r="G22" s="22" t="s">
        <v>427</v>
      </c>
    </row>
    <row r="23" spans="1:7" ht="43.2" x14ac:dyDescent="0.3">
      <c r="A23" s="33" t="s">
        <v>428</v>
      </c>
      <c r="B23" s="33">
        <v>7</v>
      </c>
      <c r="C23" s="22" t="s">
        <v>429</v>
      </c>
      <c r="E23" s="33" t="s">
        <v>430</v>
      </c>
      <c r="F23" s="33">
        <v>7</v>
      </c>
      <c r="G23" s="22" t="s">
        <v>431</v>
      </c>
    </row>
    <row r="24" spans="1:7" ht="43.2" x14ac:dyDescent="0.3">
      <c r="A24" s="33" t="s">
        <v>432</v>
      </c>
      <c r="B24" s="33">
        <v>7</v>
      </c>
      <c r="C24" s="22" t="s">
        <v>433</v>
      </c>
      <c r="E24" s="33" t="s">
        <v>434</v>
      </c>
      <c r="F24" s="33">
        <v>6</v>
      </c>
      <c r="G24" s="22" t="s">
        <v>435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57.6" x14ac:dyDescent="0.3">
      <c r="A30" s="13" t="s">
        <v>345</v>
      </c>
      <c r="B30" s="33" t="s">
        <v>346</v>
      </c>
      <c r="C30" s="22" t="s">
        <v>436</v>
      </c>
      <c r="E30" s="13" t="s">
        <v>348</v>
      </c>
      <c r="F30" s="33" t="s">
        <v>349</v>
      </c>
      <c r="G30" s="22" t="s">
        <v>437</v>
      </c>
    </row>
    <row r="31" spans="1:7" ht="72" x14ac:dyDescent="0.3">
      <c r="A31" s="13" t="s">
        <v>351</v>
      </c>
      <c r="B31" s="33" t="s">
        <v>346</v>
      </c>
      <c r="C31" s="22" t="s">
        <v>438</v>
      </c>
      <c r="E31" s="13" t="s">
        <v>353</v>
      </c>
      <c r="F31" s="33" t="s">
        <v>346</v>
      </c>
      <c r="G31" s="22" t="s">
        <v>439</v>
      </c>
    </row>
    <row r="32" spans="1:7" ht="57.6" x14ac:dyDescent="0.3">
      <c r="A32" s="13" t="s">
        <v>355</v>
      </c>
      <c r="B32" s="33" t="s">
        <v>349</v>
      </c>
      <c r="C32" s="22" t="s">
        <v>440</v>
      </c>
      <c r="E32" s="13" t="s">
        <v>357</v>
      </c>
      <c r="F32" s="33" t="s">
        <v>346</v>
      </c>
      <c r="G32" s="22" t="s">
        <v>441</v>
      </c>
    </row>
    <row r="33" spans="1:7" ht="57.6" x14ac:dyDescent="0.3">
      <c r="A33" s="13" t="s">
        <v>359</v>
      </c>
      <c r="B33" s="33" t="s">
        <v>349</v>
      </c>
      <c r="C33" s="22" t="s">
        <v>442</v>
      </c>
      <c r="E33" s="13" t="s">
        <v>361</v>
      </c>
      <c r="F33" s="33" t="s">
        <v>346</v>
      </c>
      <c r="G33" s="22" t="s">
        <v>443</v>
      </c>
    </row>
    <row r="34" spans="1:7" ht="57.6" x14ac:dyDescent="0.3">
      <c r="A34" s="13" t="s">
        <v>363</v>
      </c>
      <c r="B34" s="33" t="s">
        <v>349</v>
      </c>
      <c r="C34" s="22" t="s">
        <v>444</v>
      </c>
      <c r="E34" s="13" t="s">
        <v>365</v>
      </c>
      <c r="F34" s="33" t="s">
        <v>366</v>
      </c>
      <c r="G34" s="22" t="s">
        <v>445</v>
      </c>
    </row>
    <row r="35" spans="1:7" ht="72" x14ac:dyDescent="0.3">
      <c r="A35" s="13" t="s">
        <v>368</v>
      </c>
      <c r="B35" s="33" t="s">
        <v>366</v>
      </c>
      <c r="C35" s="22" t="s">
        <v>446</v>
      </c>
      <c r="E35" s="13" t="s">
        <v>370</v>
      </c>
      <c r="F35" s="33" t="s">
        <v>346</v>
      </c>
      <c r="G35" s="22" t="s">
        <v>447</v>
      </c>
    </row>
    <row r="37" spans="1:7" ht="57.6" x14ac:dyDescent="0.3">
      <c r="C37" s="41" t="s">
        <v>448</v>
      </c>
    </row>
    <row r="38" spans="1:7" ht="72" customHeight="1" x14ac:dyDescent="0.3">
      <c r="A38" s="34" t="s">
        <v>373</v>
      </c>
      <c r="B38" s="35" t="s">
        <v>374</v>
      </c>
      <c r="C38" s="41" t="s">
        <v>449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62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129.6" customHeight="1" x14ac:dyDescent="0.3">
      <c r="A4" s="30" t="s">
        <v>277</v>
      </c>
      <c r="B4" s="13" t="s">
        <v>63</v>
      </c>
      <c r="C4" s="41"/>
      <c r="D4" s="2" t="s">
        <v>278</v>
      </c>
      <c r="E4" s="2" t="s">
        <v>279</v>
      </c>
    </row>
    <row r="5" spans="1:7" ht="72" customHeight="1" x14ac:dyDescent="0.3">
      <c r="A5" s="30" t="s">
        <v>280</v>
      </c>
      <c r="B5" s="13" t="s">
        <v>64</v>
      </c>
      <c r="C5" s="41"/>
      <c r="D5" s="6" t="s">
        <v>281</v>
      </c>
      <c r="E5" s="4">
        <f>Industry_Data!C8</f>
        <v>141.79</v>
      </c>
    </row>
    <row r="6" spans="1:7" ht="57.6" customHeight="1" x14ac:dyDescent="0.3">
      <c r="A6" s="30" t="s">
        <v>282</v>
      </c>
      <c r="B6" s="13" t="s">
        <v>65</v>
      </c>
      <c r="C6" s="41"/>
      <c r="D6" s="6" t="s">
        <v>283</v>
      </c>
      <c r="E6" s="4">
        <f>Industry_Data!D8</f>
        <v>336.94</v>
      </c>
    </row>
    <row r="7" spans="1:7" ht="72" customHeight="1" x14ac:dyDescent="0.3">
      <c r="A7" s="30" t="s">
        <v>284</v>
      </c>
      <c r="B7" s="13" t="s">
        <v>66</v>
      </c>
      <c r="C7" s="41"/>
      <c r="D7" s="6" t="s">
        <v>109</v>
      </c>
      <c r="E7" s="31">
        <f>Industry_Data!E8</f>
        <v>0.18899873839209369</v>
      </c>
    </row>
    <row r="8" spans="1:7" x14ac:dyDescent="0.3">
      <c r="D8" s="6" t="s">
        <v>285</v>
      </c>
      <c r="E8" s="31">
        <f>Industry_Data!O8</f>
        <v>0.63302325732771347</v>
      </c>
    </row>
    <row r="9" spans="1:7" x14ac:dyDescent="0.3">
      <c r="D9" s="6" t="s">
        <v>172</v>
      </c>
      <c r="E9" s="32">
        <f>Industry_Data!P8</f>
        <v>2</v>
      </c>
    </row>
    <row r="10" spans="1:7" x14ac:dyDescent="0.3">
      <c r="D10" s="6" t="s">
        <v>122</v>
      </c>
      <c r="E10" s="4" t="str">
        <f>Industry_Data!Q8</f>
        <v>Strong Candidate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450</v>
      </c>
      <c r="D12" s="39" t="s">
        <v>148</v>
      </c>
      <c r="E12" s="24" t="s">
        <v>295</v>
      </c>
      <c r="F12" s="22">
        <v>3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451</v>
      </c>
      <c r="D13" s="39" t="s">
        <v>148</v>
      </c>
      <c r="E13" s="24" t="s">
        <v>299</v>
      </c>
      <c r="F13" s="22">
        <v>3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452</v>
      </c>
      <c r="D14" s="39" t="s">
        <v>148</v>
      </c>
      <c r="E14" s="24" t="s">
        <v>303</v>
      </c>
      <c r="F14" s="22">
        <v>3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453</v>
      </c>
      <c r="D15" s="39" t="s">
        <v>148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454</v>
      </c>
      <c r="D16" s="39" t="s">
        <v>148</v>
      </c>
      <c r="E16" s="24" t="s">
        <v>311</v>
      </c>
      <c r="F16" s="22">
        <v>3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148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455</v>
      </c>
      <c r="D18" s="39" t="s">
        <v>148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43.2" x14ac:dyDescent="0.3">
      <c r="A21" s="33" t="s">
        <v>456</v>
      </c>
      <c r="B21" s="33">
        <v>9</v>
      </c>
      <c r="C21" s="22" t="s">
        <v>457</v>
      </c>
      <c r="E21" s="33" t="s">
        <v>458</v>
      </c>
      <c r="F21" s="33">
        <v>7</v>
      </c>
      <c r="G21" s="22" t="s">
        <v>459</v>
      </c>
    </row>
    <row r="22" spans="1:7" ht="43.2" x14ac:dyDescent="0.3">
      <c r="A22" s="33" t="s">
        <v>460</v>
      </c>
      <c r="B22" s="33">
        <v>8</v>
      </c>
      <c r="C22" s="22" t="s">
        <v>461</v>
      </c>
      <c r="E22" s="33" t="s">
        <v>462</v>
      </c>
      <c r="F22" s="33">
        <v>7</v>
      </c>
      <c r="G22" s="22" t="s">
        <v>463</v>
      </c>
    </row>
    <row r="23" spans="1:7" ht="43.2" x14ac:dyDescent="0.3">
      <c r="A23" s="33" t="s">
        <v>464</v>
      </c>
      <c r="B23" s="33">
        <v>8</v>
      </c>
      <c r="C23" s="22" t="s">
        <v>465</v>
      </c>
      <c r="E23" s="33" t="s">
        <v>466</v>
      </c>
      <c r="F23" s="33">
        <v>6</v>
      </c>
      <c r="G23" s="22" t="s">
        <v>467</v>
      </c>
    </row>
    <row r="24" spans="1:7" ht="57.6" x14ac:dyDescent="0.3">
      <c r="A24" s="33" t="s">
        <v>468</v>
      </c>
      <c r="B24" s="33">
        <v>7</v>
      </c>
      <c r="C24" s="22" t="s">
        <v>469</v>
      </c>
      <c r="E24" s="33" t="s">
        <v>470</v>
      </c>
      <c r="F24" s="33">
        <v>6</v>
      </c>
      <c r="G24" s="22" t="s">
        <v>471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72" x14ac:dyDescent="0.3">
      <c r="A30" s="13" t="s">
        <v>345</v>
      </c>
      <c r="B30" s="33" t="s">
        <v>346</v>
      </c>
      <c r="C30" s="22" t="s">
        <v>472</v>
      </c>
      <c r="E30" s="13" t="s">
        <v>348</v>
      </c>
      <c r="F30" s="33" t="s">
        <v>346</v>
      </c>
      <c r="G30" s="22" t="s">
        <v>473</v>
      </c>
    </row>
    <row r="31" spans="1:7" ht="72" x14ac:dyDescent="0.3">
      <c r="A31" s="13" t="s">
        <v>351</v>
      </c>
      <c r="B31" s="33" t="s">
        <v>346</v>
      </c>
      <c r="C31" s="22" t="s">
        <v>474</v>
      </c>
      <c r="E31" s="13" t="s">
        <v>353</v>
      </c>
      <c r="F31" s="33" t="s">
        <v>346</v>
      </c>
      <c r="G31" s="22" t="s">
        <v>475</v>
      </c>
    </row>
    <row r="32" spans="1:7" ht="43.2" x14ac:dyDescent="0.3">
      <c r="A32" s="13" t="s">
        <v>355</v>
      </c>
      <c r="B32" s="33" t="s">
        <v>346</v>
      </c>
      <c r="C32" s="22" t="s">
        <v>476</v>
      </c>
      <c r="E32" s="13" t="s">
        <v>357</v>
      </c>
      <c r="F32" s="33" t="s">
        <v>346</v>
      </c>
      <c r="G32" s="22" t="s">
        <v>477</v>
      </c>
    </row>
    <row r="33" spans="1:7" ht="57.6" x14ac:dyDescent="0.3">
      <c r="A33" s="13" t="s">
        <v>359</v>
      </c>
      <c r="B33" s="33" t="s">
        <v>349</v>
      </c>
      <c r="C33" s="22" t="s">
        <v>478</v>
      </c>
      <c r="E33" s="13" t="s">
        <v>361</v>
      </c>
      <c r="F33" s="33" t="s">
        <v>346</v>
      </c>
      <c r="G33" s="22" t="s">
        <v>479</v>
      </c>
    </row>
    <row r="34" spans="1:7" ht="57.6" x14ac:dyDescent="0.3">
      <c r="A34" s="13" t="s">
        <v>363</v>
      </c>
      <c r="B34" s="33" t="s">
        <v>349</v>
      </c>
      <c r="C34" s="22" t="s">
        <v>480</v>
      </c>
      <c r="E34" s="13" t="s">
        <v>365</v>
      </c>
      <c r="F34" s="33" t="s">
        <v>346</v>
      </c>
      <c r="G34" s="22" t="s">
        <v>481</v>
      </c>
    </row>
    <row r="35" spans="1:7" ht="57.6" x14ac:dyDescent="0.3">
      <c r="A35" s="13" t="s">
        <v>368</v>
      </c>
      <c r="B35" s="33" t="s">
        <v>349</v>
      </c>
      <c r="C35" s="22" t="s">
        <v>482</v>
      </c>
      <c r="E35" s="13" t="s">
        <v>370</v>
      </c>
      <c r="F35" s="33" t="s">
        <v>349</v>
      </c>
      <c r="G35" s="22" t="s">
        <v>483</v>
      </c>
    </row>
    <row r="37" spans="1:7" ht="72" x14ac:dyDescent="0.3">
      <c r="C37" s="41" t="s">
        <v>484</v>
      </c>
    </row>
    <row r="38" spans="1:7" ht="72" customHeight="1" x14ac:dyDescent="0.3">
      <c r="A38" s="34" t="s">
        <v>373</v>
      </c>
      <c r="B38" s="35" t="s">
        <v>374</v>
      </c>
      <c r="C38" s="41" t="s">
        <v>485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68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86.4" customHeight="1" x14ac:dyDescent="0.3">
      <c r="A4" s="30" t="s">
        <v>277</v>
      </c>
      <c r="B4" s="13" t="s">
        <v>69</v>
      </c>
      <c r="C4" s="41"/>
      <c r="D4" s="2" t="s">
        <v>278</v>
      </c>
      <c r="E4" s="2" t="s">
        <v>279</v>
      </c>
    </row>
    <row r="5" spans="1:7" ht="115.2" customHeight="1" x14ac:dyDescent="0.3">
      <c r="A5" s="30" t="s">
        <v>280</v>
      </c>
      <c r="B5" s="13" t="s">
        <v>70</v>
      </c>
      <c r="C5" s="41"/>
      <c r="D5" s="6" t="s">
        <v>281</v>
      </c>
      <c r="E5" s="4">
        <f>Industry_Data!C9</f>
        <v>356.7</v>
      </c>
    </row>
    <row r="6" spans="1:7" ht="86.4" customHeight="1" x14ac:dyDescent="0.3">
      <c r="A6" s="30" t="s">
        <v>282</v>
      </c>
      <c r="B6" s="13" t="s">
        <v>71</v>
      </c>
      <c r="C6" s="41"/>
      <c r="D6" s="6" t="s">
        <v>283</v>
      </c>
      <c r="E6" s="4">
        <f>Industry_Data!D9</f>
        <v>1010</v>
      </c>
    </row>
    <row r="7" spans="1:7" ht="72" customHeight="1" x14ac:dyDescent="0.3">
      <c r="A7" s="30" t="s">
        <v>284</v>
      </c>
      <c r="B7" s="13" t="s">
        <v>72</v>
      </c>
      <c r="C7" s="41"/>
      <c r="D7" s="6" t="s">
        <v>109</v>
      </c>
      <c r="E7" s="31">
        <f>Industry_Data!E9</f>
        <v>0.23141276968312607</v>
      </c>
    </row>
    <row r="8" spans="1:7" x14ac:dyDescent="0.3">
      <c r="D8" s="6" t="s">
        <v>285</v>
      </c>
      <c r="E8" s="31">
        <f>Industry_Data!O9</f>
        <v>0.8716666666666667</v>
      </c>
    </row>
    <row r="9" spans="1:7" x14ac:dyDescent="0.3">
      <c r="D9" s="6" t="s">
        <v>172</v>
      </c>
      <c r="E9" s="32">
        <f>Industry_Data!P9</f>
        <v>1</v>
      </c>
    </row>
    <row r="10" spans="1:7" x14ac:dyDescent="0.3">
      <c r="D10" s="6" t="s">
        <v>122</v>
      </c>
      <c r="E10" s="4" t="str">
        <f>Industry_Data!Q9</f>
        <v>Dominant Potential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486</v>
      </c>
      <c r="D12" s="39" t="s">
        <v>194</v>
      </c>
      <c r="E12" s="24" t="s">
        <v>295</v>
      </c>
      <c r="F12" s="22">
        <v>3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487</v>
      </c>
      <c r="D13" s="39" t="s">
        <v>194</v>
      </c>
      <c r="E13" s="24" t="s">
        <v>299</v>
      </c>
      <c r="F13" s="22">
        <v>3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488</v>
      </c>
      <c r="D14" s="39" t="s">
        <v>194</v>
      </c>
      <c r="E14" s="24" t="s">
        <v>303</v>
      </c>
      <c r="F14" s="22">
        <v>3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489</v>
      </c>
      <c r="D15" s="39" t="s">
        <v>194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490</v>
      </c>
      <c r="D16" s="39" t="s">
        <v>194</v>
      </c>
      <c r="E16" s="24" t="s">
        <v>311</v>
      </c>
      <c r="F16" s="22">
        <v>3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194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491</v>
      </c>
      <c r="D18" s="39" t="s">
        <v>194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43.2" x14ac:dyDescent="0.3">
      <c r="A21" s="33" t="s">
        <v>492</v>
      </c>
      <c r="B21" s="33">
        <v>10</v>
      </c>
      <c r="C21" s="22" t="s">
        <v>493</v>
      </c>
      <c r="E21" s="33" t="s">
        <v>494</v>
      </c>
      <c r="F21" s="33">
        <v>10</v>
      </c>
      <c r="G21" s="22" t="s">
        <v>495</v>
      </c>
    </row>
    <row r="22" spans="1:7" ht="43.2" x14ac:dyDescent="0.3">
      <c r="A22" s="33" t="s">
        <v>496</v>
      </c>
      <c r="B22" s="33">
        <v>9</v>
      </c>
      <c r="C22" s="22" t="s">
        <v>497</v>
      </c>
      <c r="E22" s="33" t="s">
        <v>498</v>
      </c>
      <c r="F22" s="33">
        <v>9</v>
      </c>
      <c r="G22" s="22" t="s">
        <v>499</v>
      </c>
    </row>
    <row r="23" spans="1:7" ht="43.2" x14ac:dyDescent="0.3">
      <c r="A23" s="33" t="s">
        <v>500</v>
      </c>
      <c r="B23" s="33">
        <v>7</v>
      </c>
      <c r="C23" s="22" t="s">
        <v>501</v>
      </c>
      <c r="E23" s="33" t="s">
        <v>502</v>
      </c>
      <c r="F23" s="33">
        <v>8</v>
      </c>
      <c r="G23" s="22" t="s">
        <v>503</v>
      </c>
    </row>
    <row r="24" spans="1:7" ht="43.2" x14ac:dyDescent="0.3">
      <c r="A24" s="33" t="s">
        <v>504</v>
      </c>
      <c r="B24" s="33">
        <v>9</v>
      </c>
      <c r="C24" s="22" t="s">
        <v>505</v>
      </c>
      <c r="E24" s="33" t="s">
        <v>506</v>
      </c>
      <c r="F24" s="33">
        <v>7</v>
      </c>
      <c r="G24" s="22" t="s">
        <v>507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72" x14ac:dyDescent="0.3">
      <c r="A30" s="13" t="s">
        <v>345</v>
      </c>
      <c r="B30" s="33" t="s">
        <v>346</v>
      </c>
      <c r="C30" s="22" t="s">
        <v>508</v>
      </c>
      <c r="E30" s="13" t="s">
        <v>348</v>
      </c>
      <c r="F30" s="33" t="s">
        <v>346</v>
      </c>
      <c r="G30" s="22" t="s">
        <v>509</v>
      </c>
    </row>
    <row r="31" spans="1:7" ht="72" x14ac:dyDescent="0.3">
      <c r="A31" s="13" t="s">
        <v>351</v>
      </c>
      <c r="B31" s="33" t="s">
        <v>349</v>
      </c>
      <c r="C31" s="22" t="s">
        <v>510</v>
      </c>
      <c r="E31" s="13" t="s">
        <v>353</v>
      </c>
      <c r="F31" s="33" t="s">
        <v>349</v>
      </c>
      <c r="G31" s="22" t="s">
        <v>511</v>
      </c>
    </row>
    <row r="32" spans="1:7" ht="57.6" x14ac:dyDescent="0.3">
      <c r="A32" s="13" t="s">
        <v>355</v>
      </c>
      <c r="B32" s="33" t="s">
        <v>366</v>
      </c>
      <c r="C32" s="22" t="s">
        <v>512</v>
      </c>
      <c r="E32" s="13" t="s">
        <v>357</v>
      </c>
      <c r="F32" s="33" t="s">
        <v>349</v>
      </c>
      <c r="G32" s="22" t="s">
        <v>513</v>
      </c>
    </row>
    <row r="33" spans="1:7" ht="43.2" x14ac:dyDescent="0.3">
      <c r="A33" s="13" t="s">
        <v>359</v>
      </c>
      <c r="B33" s="33" t="s">
        <v>514</v>
      </c>
      <c r="C33" s="22" t="s">
        <v>515</v>
      </c>
      <c r="E33" s="13" t="s">
        <v>361</v>
      </c>
      <c r="F33" s="33" t="s">
        <v>366</v>
      </c>
      <c r="G33" s="22" t="s">
        <v>516</v>
      </c>
    </row>
    <row r="34" spans="1:7" ht="57.6" x14ac:dyDescent="0.3">
      <c r="A34" s="13" t="s">
        <v>363</v>
      </c>
      <c r="B34" s="33" t="s">
        <v>346</v>
      </c>
      <c r="C34" s="22" t="s">
        <v>517</v>
      </c>
      <c r="E34" s="13" t="s">
        <v>365</v>
      </c>
      <c r="F34" s="33" t="s">
        <v>366</v>
      </c>
      <c r="G34" s="22" t="s">
        <v>518</v>
      </c>
    </row>
    <row r="35" spans="1:7" ht="57.6" x14ac:dyDescent="0.3">
      <c r="A35" s="13" t="s">
        <v>368</v>
      </c>
      <c r="B35" s="33" t="s">
        <v>349</v>
      </c>
      <c r="C35" s="22" t="s">
        <v>519</v>
      </c>
      <c r="E35" s="13" t="s">
        <v>370</v>
      </c>
      <c r="F35" s="33" t="s">
        <v>349</v>
      </c>
      <c r="G35" s="22" t="s">
        <v>520</v>
      </c>
    </row>
    <row r="37" spans="1:7" ht="100.8" x14ac:dyDescent="0.3">
      <c r="C37" s="41" t="s">
        <v>521</v>
      </c>
    </row>
    <row r="38" spans="1:7" ht="72" customHeight="1" x14ac:dyDescent="0.3">
      <c r="A38" s="34" t="s">
        <v>373</v>
      </c>
      <c r="B38" s="35" t="s">
        <v>374</v>
      </c>
      <c r="C38" s="41" t="s">
        <v>522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74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86.4" customHeight="1" x14ac:dyDescent="0.3">
      <c r="A4" s="30" t="s">
        <v>277</v>
      </c>
      <c r="B4" s="13" t="s">
        <v>75</v>
      </c>
      <c r="C4" s="41"/>
      <c r="D4" s="2" t="s">
        <v>278</v>
      </c>
      <c r="E4" s="2" t="s">
        <v>279</v>
      </c>
    </row>
    <row r="5" spans="1:7" ht="100.8" customHeight="1" x14ac:dyDescent="0.3">
      <c r="A5" s="30" t="s">
        <v>280</v>
      </c>
      <c r="B5" s="13" t="s">
        <v>76</v>
      </c>
      <c r="C5" s="41"/>
      <c r="D5" s="6" t="s">
        <v>281</v>
      </c>
      <c r="E5" s="4">
        <f>Industry_Data!C10</f>
        <v>40.799999999999997</v>
      </c>
    </row>
    <row r="6" spans="1:7" ht="57.6" customHeight="1" x14ac:dyDescent="0.3">
      <c r="A6" s="30" t="s">
        <v>282</v>
      </c>
      <c r="B6" s="13" t="s">
        <v>77</v>
      </c>
      <c r="C6" s="41"/>
      <c r="D6" s="6" t="s">
        <v>283</v>
      </c>
      <c r="E6" s="4">
        <f>Industry_Data!D10</f>
        <v>99.1</v>
      </c>
    </row>
    <row r="7" spans="1:7" ht="86.4" customHeight="1" x14ac:dyDescent="0.3">
      <c r="A7" s="30" t="s">
        <v>284</v>
      </c>
      <c r="B7" s="13" t="s">
        <v>78</v>
      </c>
      <c r="C7" s="41"/>
      <c r="D7" s="6" t="s">
        <v>109</v>
      </c>
      <c r="E7" s="31">
        <f>Industry_Data!E10</f>
        <v>0.19421548511793318</v>
      </c>
    </row>
    <row r="8" spans="1:7" x14ac:dyDescent="0.3">
      <c r="D8" s="6" t="s">
        <v>285</v>
      </c>
      <c r="E8" s="31">
        <f>Industry_Data!O10</f>
        <v>0.49463304088339183</v>
      </c>
    </row>
    <row r="9" spans="1:7" x14ac:dyDescent="0.3">
      <c r="D9" s="6" t="s">
        <v>172</v>
      </c>
      <c r="E9" s="32">
        <f>Industry_Data!P10</f>
        <v>3</v>
      </c>
    </row>
    <row r="10" spans="1:7" x14ac:dyDescent="0.3">
      <c r="D10" s="6" t="s">
        <v>122</v>
      </c>
      <c r="E10" s="4" t="str">
        <f>Industry_Data!Q10</f>
        <v>Watchlist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523</v>
      </c>
      <c r="D12" s="39" t="s">
        <v>198</v>
      </c>
      <c r="E12" s="24" t="s">
        <v>295</v>
      </c>
      <c r="F12" s="22">
        <v>3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524</v>
      </c>
      <c r="D13" s="39" t="s">
        <v>198</v>
      </c>
      <c r="E13" s="24" t="s">
        <v>299</v>
      </c>
      <c r="F13" s="22">
        <v>3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525</v>
      </c>
      <c r="D14" s="39" t="s">
        <v>198</v>
      </c>
      <c r="E14" s="24" t="s">
        <v>303</v>
      </c>
      <c r="F14" s="22">
        <v>3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526</v>
      </c>
      <c r="D15" s="39" t="s">
        <v>198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527</v>
      </c>
      <c r="D16" s="39" t="s">
        <v>198</v>
      </c>
      <c r="E16" s="24" t="s">
        <v>311</v>
      </c>
      <c r="F16" s="22">
        <v>3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198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528</v>
      </c>
      <c r="D18" s="39" t="s">
        <v>198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43.2" x14ac:dyDescent="0.3">
      <c r="A21" s="33" t="s">
        <v>529</v>
      </c>
      <c r="B21" s="33">
        <v>8</v>
      </c>
      <c r="C21" s="22" t="s">
        <v>530</v>
      </c>
      <c r="E21" s="33" t="s">
        <v>531</v>
      </c>
      <c r="F21" s="33">
        <v>8</v>
      </c>
      <c r="G21" s="22" t="s">
        <v>532</v>
      </c>
    </row>
    <row r="22" spans="1:7" ht="57.6" x14ac:dyDescent="0.3">
      <c r="A22" s="33" t="s">
        <v>533</v>
      </c>
      <c r="B22" s="33">
        <v>8</v>
      </c>
      <c r="C22" s="22" t="s">
        <v>534</v>
      </c>
      <c r="E22" s="33" t="s">
        <v>535</v>
      </c>
      <c r="F22" s="33">
        <v>7</v>
      </c>
      <c r="G22" s="22" t="s">
        <v>536</v>
      </c>
    </row>
    <row r="23" spans="1:7" ht="43.2" x14ac:dyDescent="0.3">
      <c r="A23" s="33" t="s">
        <v>537</v>
      </c>
      <c r="B23" s="33">
        <v>7</v>
      </c>
      <c r="C23" s="22" t="s">
        <v>538</v>
      </c>
      <c r="E23" s="33" t="s">
        <v>539</v>
      </c>
      <c r="F23" s="33">
        <v>7</v>
      </c>
      <c r="G23" s="22" t="s">
        <v>540</v>
      </c>
    </row>
    <row r="24" spans="1:7" ht="43.2" x14ac:dyDescent="0.3">
      <c r="A24" s="33" t="s">
        <v>541</v>
      </c>
      <c r="B24" s="33">
        <v>8</v>
      </c>
      <c r="C24" s="22" t="s">
        <v>542</v>
      </c>
      <c r="E24" s="33" t="s">
        <v>543</v>
      </c>
      <c r="F24" s="33">
        <v>6</v>
      </c>
      <c r="G24" s="22" t="s">
        <v>544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57.6" x14ac:dyDescent="0.3">
      <c r="A30" s="13" t="s">
        <v>345</v>
      </c>
      <c r="B30" s="33" t="s">
        <v>366</v>
      </c>
      <c r="C30" s="22" t="s">
        <v>545</v>
      </c>
      <c r="E30" s="13" t="s">
        <v>348</v>
      </c>
      <c r="F30" s="33" t="s">
        <v>346</v>
      </c>
      <c r="G30" s="22" t="s">
        <v>546</v>
      </c>
    </row>
    <row r="31" spans="1:7" ht="43.2" x14ac:dyDescent="0.3">
      <c r="A31" s="13" t="s">
        <v>351</v>
      </c>
      <c r="B31" s="33" t="s">
        <v>346</v>
      </c>
      <c r="C31" s="22" t="s">
        <v>547</v>
      </c>
      <c r="E31" s="13" t="s">
        <v>353</v>
      </c>
      <c r="F31" s="33" t="s">
        <v>346</v>
      </c>
      <c r="G31" s="22" t="s">
        <v>548</v>
      </c>
    </row>
    <row r="32" spans="1:7" ht="57.6" x14ac:dyDescent="0.3">
      <c r="A32" s="13" t="s">
        <v>355</v>
      </c>
      <c r="B32" s="33" t="s">
        <v>346</v>
      </c>
      <c r="C32" s="22" t="s">
        <v>549</v>
      </c>
      <c r="E32" s="13" t="s">
        <v>357</v>
      </c>
      <c r="F32" s="33" t="s">
        <v>346</v>
      </c>
      <c r="G32" s="22" t="s">
        <v>550</v>
      </c>
    </row>
    <row r="33" spans="1:7" ht="43.2" x14ac:dyDescent="0.3">
      <c r="A33" s="13" t="s">
        <v>359</v>
      </c>
      <c r="B33" s="33" t="s">
        <v>349</v>
      </c>
      <c r="C33" s="22" t="s">
        <v>551</v>
      </c>
      <c r="E33" s="13" t="s">
        <v>361</v>
      </c>
      <c r="F33" s="33" t="s">
        <v>346</v>
      </c>
      <c r="G33" s="22" t="s">
        <v>552</v>
      </c>
    </row>
    <row r="34" spans="1:7" ht="57.6" x14ac:dyDescent="0.3">
      <c r="A34" s="13" t="s">
        <v>363</v>
      </c>
      <c r="B34" s="33" t="s">
        <v>346</v>
      </c>
      <c r="C34" s="22" t="s">
        <v>553</v>
      </c>
      <c r="E34" s="13" t="s">
        <v>365</v>
      </c>
      <c r="F34" s="33" t="s">
        <v>346</v>
      </c>
      <c r="G34" s="22" t="s">
        <v>554</v>
      </c>
    </row>
    <row r="35" spans="1:7" ht="57.6" x14ac:dyDescent="0.3">
      <c r="A35" s="13" t="s">
        <v>368</v>
      </c>
      <c r="B35" s="33" t="s">
        <v>366</v>
      </c>
      <c r="C35" s="22" t="s">
        <v>555</v>
      </c>
      <c r="E35" s="13" t="s">
        <v>370</v>
      </c>
      <c r="F35" s="33" t="s">
        <v>346</v>
      </c>
      <c r="G35" s="22" t="s">
        <v>556</v>
      </c>
    </row>
    <row r="37" spans="1:7" ht="72" x14ac:dyDescent="0.3">
      <c r="C37" s="41" t="s">
        <v>557</v>
      </c>
    </row>
    <row r="38" spans="1:7" ht="72" customHeight="1" x14ac:dyDescent="0.3">
      <c r="A38" s="34" t="s">
        <v>373</v>
      </c>
      <c r="B38" s="35" t="s">
        <v>374</v>
      </c>
      <c r="C38" s="41" t="s">
        <v>558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9"/>
  <sheetViews>
    <sheetView showGridLines="0" workbookViewId="0"/>
  </sheetViews>
  <sheetFormatPr defaultRowHeight="14.4" x14ac:dyDescent="0.3"/>
  <cols>
    <col min="1" max="1" width="22" customWidth="1"/>
    <col min="2" max="2" width="18" customWidth="1"/>
    <col min="3" max="3" width="22" customWidth="1"/>
    <col min="4" max="5" width="24" customWidth="1"/>
    <col min="6" max="6" width="16" customWidth="1"/>
    <col min="7" max="7" width="18" customWidth="1"/>
  </cols>
  <sheetData>
    <row r="1" spans="1:7" x14ac:dyDescent="0.3">
      <c r="A1" s="51" t="s">
        <v>80</v>
      </c>
      <c r="B1" s="50"/>
      <c r="C1" s="50"/>
      <c r="D1" s="50"/>
      <c r="E1" s="50"/>
      <c r="F1" s="50"/>
      <c r="G1" s="50"/>
    </row>
    <row r="2" spans="1:7" x14ac:dyDescent="0.3">
      <c r="A2" s="50"/>
      <c r="B2" s="50"/>
      <c r="C2" s="50"/>
      <c r="D2" s="50"/>
      <c r="E2" s="50"/>
      <c r="F2" s="50"/>
      <c r="G2" s="50"/>
    </row>
    <row r="4" spans="1:7" ht="144" customHeight="1" x14ac:dyDescent="0.3">
      <c r="A4" s="30" t="s">
        <v>277</v>
      </c>
      <c r="B4" s="13" t="s">
        <v>81</v>
      </c>
      <c r="C4" s="41"/>
      <c r="D4" s="2" t="s">
        <v>278</v>
      </c>
      <c r="E4" s="2" t="s">
        <v>279</v>
      </c>
    </row>
    <row r="5" spans="1:7" ht="86.4" customHeight="1" x14ac:dyDescent="0.3">
      <c r="A5" s="30" t="s">
        <v>280</v>
      </c>
      <c r="B5" s="13" t="s">
        <v>82</v>
      </c>
      <c r="C5" s="41"/>
      <c r="D5" s="6" t="s">
        <v>281</v>
      </c>
      <c r="E5" s="4">
        <f>Industry_Data!C11</f>
        <v>57.24</v>
      </c>
    </row>
    <row r="6" spans="1:7" ht="57.6" customHeight="1" x14ac:dyDescent="0.3">
      <c r="A6" s="30" t="s">
        <v>282</v>
      </c>
      <c r="B6" s="13" t="s">
        <v>83</v>
      </c>
      <c r="C6" s="41"/>
      <c r="D6" s="6" t="s">
        <v>283</v>
      </c>
      <c r="E6" s="4">
        <f>Industry_Data!D11</f>
        <v>78.48</v>
      </c>
    </row>
    <row r="7" spans="1:7" ht="72" customHeight="1" x14ac:dyDescent="0.3">
      <c r="A7" s="30" t="s">
        <v>284</v>
      </c>
      <c r="B7" s="13" t="s">
        <v>84</v>
      </c>
      <c r="C7" s="41"/>
      <c r="D7" s="6" t="s">
        <v>109</v>
      </c>
      <c r="E7" s="31">
        <f>Industry_Data!E11</f>
        <v>6.5152703140776369E-2</v>
      </c>
    </row>
    <row r="8" spans="1:7" x14ac:dyDescent="0.3">
      <c r="D8" s="6" t="s">
        <v>285</v>
      </c>
      <c r="E8" s="31">
        <f>Industry_Data!O11</f>
        <v>0.36508655821906977</v>
      </c>
    </row>
    <row r="9" spans="1:7" x14ac:dyDescent="0.3">
      <c r="D9" s="6" t="s">
        <v>172</v>
      </c>
      <c r="E9" s="32">
        <f>Industry_Data!P11</f>
        <v>7</v>
      </c>
    </row>
    <row r="10" spans="1:7" x14ac:dyDescent="0.3">
      <c r="D10" s="6" t="s">
        <v>122</v>
      </c>
      <c r="E10" s="4" t="str">
        <f>Industry_Data!Q11</f>
        <v>Emerging / Niche</v>
      </c>
    </row>
    <row r="11" spans="1:7" x14ac:dyDescent="0.3">
      <c r="A11" s="2" t="s">
        <v>286</v>
      </c>
      <c r="B11" s="2" t="s">
        <v>287</v>
      </c>
      <c r="C11" s="2" t="s">
        <v>288</v>
      </c>
      <c r="D11" s="2" t="s">
        <v>217</v>
      </c>
      <c r="E11" s="2" t="s">
        <v>289</v>
      </c>
      <c r="F11" s="2" t="s">
        <v>290</v>
      </c>
      <c r="G11" s="2" t="s">
        <v>291</v>
      </c>
    </row>
    <row r="12" spans="1:7" ht="43.2" customHeight="1" x14ac:dyDescent="0.3">
      <c r="A12" s="12" t="s">
        <v>292</v>
      </c>
      <c r="B12" s="12" t="s">
        <v>293</v>
      </c>
      <c r="C12" s="22" t="s">
        <v>559</v>
      </c>
      <c r="D12" s="39" t="s">
        <v>157</v>
      </c>
      <c r="E12" s="24" t="s">
        <v>295</v>
      </c>
      <c r="F12" s="22">
        <v>4</v>
      </c>
      <c r="G12" s="22" t="s">
        <v>221</v>
      </c>
    </row>
    <row r="13" spans="1:7" ht="43.2" customHeight="1" x14ac:dyDescent="0.3">
      <c r="A13" s="12" t="s">
        <v>296</v>
      </c>
      <c r="B13" s="12" t="s">
        <v>297</v>
      </c>
      <c r="C13" s="22" t="s">
        <v>560</v>
      </c>
      <c r="D13" s="39" t="s">
        <v>157</v>
      </c>
      <c r="E13" s="24" t="s">
        <v>299</v>
      </c>
      <c r="F13" s="22">
        <v>4</v>
      </c>
      <c r="G13" s="22" t="s">
        <v>221</v>
      </c>
    </row>
    <row r="14" spans="1:7" ht="43.2" customHeight="1" x14ac:dyDescent="0.3">
      <c r="A14" s="12" t="s">
        <v>300</v>
      </c>
      <c r="B14" s="12" t="s">
        <v>301</v>
      </c>
      <c r="C14" s="22" t="s">
        <v>561</v>
      </c>
      <c r="D14" s="39" t="s">
        <v>157</v>
      </c>
      <c r="E14" s="24" t="s">
        <v>303</v>
      </c>
      <c r="F14" s="22">
        <v>4</v>
      </c>
      <c r="G14" s="22" t="s">
        <v>221</v>
      </c>
    </row>
    <row r="15" spans="1:7" ht="43.2" customHeight="1" x14ac:dyDescent="0.3">
      <c r="A15" s="12" t="s">
        <v>304</v>
      </c>
      <c r="B15" s="12" t="s">
        <v>305</v>
      </c>
      <c r="C15" s="22" t="s">
        <v>562</v>
      </c>
      <c r="D15" s="39" t="s">
        <v>157</v>
      </c>
      <c r="E15" s="24" t="s">
        <v>307</v>
      </c>
      <c r="F15" s="22">
        <v>3</v>
      </c>
      <c r="G15" s="22" t="s">
        <v>221</v>
      </c>
    </row>
    <row r="16" spans="1:7" ht="43.2" customHeight="1" x14ac:dyDescent="0.3">
      <c r="A16" s="12" t="s">
        <v>308</v>
      </c>
      <c r="B16" s="12" t="s">
        <v>309</v>
      </c>
      <c r="C16" s="22" t="s">
        <v>563</v>
      </c>
      <c r="D16" s="39" t="s">
        <v>157</v>
      </c>
      <c r="E16" s="24" t="s">
        <v>311</v>
      </c>
      <c r="F16" s="22">
        <v>4</v>
      </c>
      <c r="G16" s="22" t="s">
        <v>221</v>
      </c>
    </row>
    <row r="17" spans="1:7" ht="43.2" customHeight="1" x14ac:dyDescent="0.3">
      <c r="A17" s="12" t="s">
        <v>312</v>
      </c>
      <c r="B17" s="12" t="s">
        <v>313</v>
      </c>
      <c r="C17" s="22" t="s">
        <v>314</v>
      </c>
      <c r="D17" s="39" t="s">
        <v>157</v>
      </c>
      <c r="E17" s="24" t="s">
        <v>315</v>
      </c>
      <c r="F17" s="22">
        <v>3</v>
      </c>
      <c r="G17" s="22" t="s">
        <v>221</v>
      </c>
    </row>
    <row r="18" spans="1:7" ht="57.6" customHeight="1" x14ac:dyDescent="0.3">
      <c r="A18" s="12" t="s">
        <v>316</v>
      </c>
      <c r="B18" s="12" t="s">
        <v>317</v>
      </c>
      <c r="C18" s="22" t="s">
        <v>564</v>
      </c>
      <c r="D18" s="39" t="s">
        <v>157</v>
      </c>
      <c r="E18" s="24" t="s">
        <v>319</v>
      </c>
      <c r="F18" s="22">
        <v>3</v>
      </c>
      <c r="G18" s="22" t="s">
        <v>221</v>
      </c>
    </row>
    <row r="20" spans="1:7" x14ac:dyDescent="0.3">
      <c r="A20" s="2" t="s">
        <v>320</v>
      </c>
      <c r="B20" s="2" t="s">
        <v>321</v>
      </c>
      <c r="C20" s="2" t="s">
        <v>322</v>
      </c>
      <c r="E20" s="2" t="s">
        <v>323</v>
      </c>
      <c r="F20" s="2" t="s">
        <v>324</v>
      </c>
      <c r="G20" s="2" t="s">
        <v>322</v>
      </c>
    </row>
    <row r="21" spans="1:7" ht="43.2" x14ac:dyDescent="0.3">
      <c r="A21" s="33" t="s">
        <v>565</v>
      </c>
      <c r="B21" s="33">
        <v>7</v>
      </c>
      <c r="C21" s="22" t="s">
        <v>566</v>
      </c>
      <c r="E21" s="33" t="s">
        <v>567</v>
      </c>
      <c r="F21" s="33">
        <v>8</v>
      </c>
      <c r="G21" s="22" t="s">
        <v>568</v>
      </c>
    </row>
    <row r="22" spans="1:7" ht="28.8" x14ac:dyDescent="0.3">
      <c r="A22" s="33" t="s">
        <v>569</v>
      </c>
      <c r="B22" s="33">
        <v>7</v>
      </c>
      <c r="C22" s="22" t="s">
        <v>570</v>
      </c>
      <c r="E22" s="33" t="s">
        <v>571</v>
      </c>
      <c r="F22" s="33">
        <v>6</v>
      </c>
      <c r="G22" s="22" t="s">
        <v>572</v>
      </c>
    </row>
    <row r="23" spans="1:7" ht="43.2" x14ac:dyDescent="0.3">
      <c r="A23" s="33" t="s">
        <v>573</v>
      </c>
      <c r="B23" s="33">
        <v>6</v>
      </c>
      <c r="C23" s="22" t="s">
        <v>574</v>
      </c>
      <c r="E23" s="33" t="s">
        <v>575</v>
      </c>
      <c r="F23" s="33">
        <v>7</v>
      </c>
      <c r="G23" s="22" t="s">
        <v>576</v>
      </c>
    </row>
    <row r="24" spans="1:7" ht="43.2" x14ac:dyDescent="0.3">
      <c r="A24" s="33" t="s">
        <v>577</v>
      </c>
      <c r="B24" s="33">
        <v>6</v>
      </c>
      <c r="C24" s="22" t="s">
        <v>578</v>
      </c>
      <c r="E24" s="33" t="s">
        <v>579</v>
      </c>
      <c r="F24" s="33">
        <v>6</v>
      </c>
      <c r="G24" s="22" t="s">
        <v>580</v>
      </c>
    </row>
    <row r="25" spans="1:7" x14ac:dyDescent="0.3">
      <c r="A25" s="33"/>
      <c r="B25" s="33"/>
      <c r="C25" s="33"/>
      <c r="E25" s="33"/>
      <c r="F25" s="33"/>
      <c r="G25" s="33"/>
    </row>
    <row r="29" spans="1:7" x14ac:dyDescent="0.3">
      <c r="A29" s="2" t="s">
        <v>341</v>
      </c>
      <c r="B29" s="2" t="s">
        <v>342</v>
      </c>
      <c r="C29" s="2" t="s">
        <v>322</v>
      </c>
      <c r="E29" s="2" t="s">
        <v>343</v>
      </c>
      <c r="F29" s="2" t="s">
        <v>344</v>
      </c>
      <c r="G29" s="2" t="s">
        <v>322</v>
      </c>
    </row>
    <row r="30" spans="1:7" ht="57.6" x14ac:dyDescent="0.3">
      <c r="A30" s="13" t="s">
        <v>345</v>
      </c>
      <c r="B30" s="33" t="s">
        <v>366</v>
      </c>
      <c r="C30" s="22" t="s">
        <v>581</v>
      </c>
      <c r="E30" s="13" t="s">
        <v>348</v>
      </c>
      <c r="F30" s="33" t="s">
        <v>349</v>
      </c>
      <c r="G30" s="22" t="s">
        <v>582</v>
      </c>
    </row>
    <row r="31" spans="1:7" ht="43.2" x14ac:dyDescent="0.3">
      <c r="A31" s="13" t="s">
        <v>351</v>
      </c>
      <c r="B31" s="33" t="s">
        <v>349</v>
      </c>
      <c r="C31" s="22" t="s">
        <v>583</v>
      </c>
      <c r="E31" s="13" t="s">
        <v>353</v>
      </c>
      <c r="F31" s="33" t="s">
        <v>349</v>
      </c>
      <c r="G31" s="22" t="s">
        <v>584</v>
      </c>
    </row>
    <row r="32" spans="1:7" ht="72" x14ac:dyDescent="0.3">
      <c r="A32" s="13" t="s">
        <v>355</v>
      </c>
      <c r="B32" s="33" t="s">
        <v>346</v>
      </c>
      <c r="C32" s="22" t="s">
        <v>585</v>
      </c>
      <c r="E32" s="13" t="s">
        <v>357</v>
      </c>
      <c r="F32" s="33" t="s">
        <v>346</v>
      </c>
      <c r="G32" s="22" t="s">
        <v>586</v>
      </c>
    </row>
    <row r="33" spans="1:7" ht="57.6" x14ac:dyDescent="0.3">
      <c r="A33" s="13" t="s">
        <v>359</v>
      </c>
      <c r="B33" s="33" t="s">
        <v>346</v>
      </c>
      <c r="C33" s="22" t="s">
        <v>587</v>
      </c>
      <c r="E33" s="13" t="s">
        <v>361</v>
      </c>
      <c r="F33" s="33" t="s">
        <v>346</v>
      </c>
      <c r="G33" s="22" t="s">
        <v>588</v>
      </c>
    </row>
    <row r="34" spans="1:7" ht="57.6" x14ac:dyDescent="0.3">
      <c r="A34" s="13" t="s">
        <v>363</v>
      </c>
      <c r="B34" s="33" t="s">
        <v>366</v>
      </c>
      <c r="C34" s="22" t="s">
        <v>589</v>
      </c>
      <c r="E34" s="13" t="s">
        <v>365</v>
      </c>
      <c r="F34" s="33" t="s">
        <v>346</v>
      </c>
      <c r="G34" s="22" t="s">
        <v>590</v>
      </c>
    </row>
    <row r="35" spans="1:7" ht="72" x14ac:dyDescent="0.3">
      <c r="A35" s="13" t="s">
        <v>368</v>
      </c>
      <c r="B35" s="33" t="s">
        <v>346</v>
      </c>
      <c r="C35" s="22" t="s">
        <v>591</v>
      </c>
      <c r="E35" s="13" t="s">
        <v>370</v>
      </c>
      <c r="F35" s="33" t="s">
        <v>592</v>
      </c>
      <c r="G35" s="22" t="s">
        <v>593</v>
      </c>
    </row>
    <row r="37" spans="1:7" ht="72" x14ac:dyDescent="0.3">
      <c r="C37" s="41" t="s">
        <v>594</v>
      </c>
    </row>
    <row r="38" spans="1:7" ht="72" customHeight="1" x14ac:dyDescent="0.3">
      <c r="A38" s="34" t="s">
        <v>373</v>
      </c>
      <c r="B38" s="35" t="s">
        <v>374</v>
      </c>
      <c r="C38" s="41" t="s">
        <v>595</v>
      </c>
    </row>
    <row r="39" spans="1:7" ht="57.6" customHeight="1" x14ac:dyDescent="0.3">
      <c r="A39" s="34" t="s">
        <v>376</v>
      </c>
      <c r="B39" s="35" t="s">
        <v>377</v>
      </c>
    </row>
  </sheetData>
  <mergeCells count="1">
    <mergeCell ref="A1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"/>
  <sheetViews>
    <sheetView topLeftCell="G1" workbookViewId="0"/>
  </sheetViews>
  <sheetFormatPr defaultRowHeight="14.4" x14ac:dyDescent="0.3"/>
  <cols>
    <col min="1" max="1" width="18" customWidth="1"/>
    <col min="2" max="2" width="42" customWidth="1"/>
    <col min="3" max="3" width="20" customWidth="1"/>
    <col min="4" max="4" width="10" customWidth="1"/>
    <col min="5" max="10" width="28" customWidth="1"/>
    <col min="11" max="11" width="22" customWidth="1"/>
    <col min="12" max="12" width="45" customWidth="1"/>
  </cols>
  <sheetData>
    <row r="1" spans="1:12" ht="28.8" x14ac:dyDescent="0.3">
      <c r="A1" s="45" t="s">
        <v>596</v>
      </c>
      <c r="B1" s="45" t="s">
        <v>597</v>
      </c>
      <c r="C1" s="45" t="s">
        <v>598</v>
      </c>
      <c r="D1" s="45" t="s">
        <v>109</v>
      </c>
      <c r="E1" s="45" t="s">
        <v>345</v>
      </c>
      <c r="F1" s="45" t="s">
        <v>351</v>
      </c>
      <c r="G1" s="45" t="s">
        <v>355</v>
      </c>
      <c r="H1" s="45" t="s">
        <v>359</v>
      </c>
      <c r="I1" s="45" t="s">
        <v>363</v>
      </c>
      <c r="J1" s="45" t="s">
        <v>368</v>
      </c>
      <c r="K1" s="45" t="s">
        <v>599</v>
      </c>
      <c r="L1" s="45" t="s">
        <v>600</v>
      </c>
    </row>
    <row r="2" spans="1:12" ht="72" x14ac:dyDescent="0.3">
      <c r="A2" s="46" t="s">
        <v>601</v>
      </c>
      <c r="B2" s="46" t="s">
        <v>602</v>
      </c>
      <c r="C2" s="46" t="s">
        <v>603</v>
      </c>
      <c r="D2" s="46" t="s">
        <v>604</v>
      </c>
      <c r="E2" s="46" t="s">
        <v>605</v>
      </c>
      <c r="F2" s="46" t="s">
        <v>606</v>
      </c>
      <c r="G2" s="46" t="s">
        <v>607</v>
      </c>
      <c r="H2" s="46" t="s">
        <v>608</v>
      </c>
      <c r="I2" s="46" t="s">
        <v>609</v>
      </c>
      <c r="J2" s="46" t="s">
        <v>610</v>
      </c>
      <c r="K2" s="47" t="s">
        <v>611</v>
      </c>
      <c r="L2" s="47" t="s">
        <v>260</v>
      </c>
    </row>
    <row r="3" spans="1:12" ht="72" x14ac:dyDescent="0.3">
      <c r="A3" s="46" t="s">
        <v>612</v>
      </c>
      <c r="B3" s="46" t="s">
        <v>613</v>
      </c>
      <c r="C3" s="46" t="s">
        <v>614</v>
      </c>
      <c r="D3" s="46" t="s">
        <v>615</v>
      </c>
      <c r="E3" s="46" t="s">
        <v>616</v>
      </c>
      <c r="F3" s="46" t="s">
        <v>617</v>
      </c>
      <c r="G3" s="46" t="s">
        <v>618</v>
      </c>
      <c r="H3" s="46" t="s">
        <v>619</v>
      </c>
      <c r="I3" s="46" t="s">
        <v>620</v>
      </c>
      <c r="J3" s="46" t="s">
        <v>621</v>
      </c>
      <c r="K3" s="47" t="s">
        <v>622</v>
      </c>
      <c r="L3" s="47" t="s">
        <v>263</v>
      </c>
    </row>
    <row r="4" spans="1:12" ht="72" x14ac:dyDescent="0.3">
      <c r="A4" s="46" t="s">
        <v>623</v>
      </c>
      <c r="B4" s="46" t="s">
        <v>624</v>
      </c>
      <c r="C4" s="46" t="s">
        <v>625</v>
      </c>
      <c r="D4" s="46" t="s">
        <v>626</v>
      </c>
      <c r="E4" s="46" t="s">
        <v>627</v>
      </c>
      <c r="F4" s="46" t="s">
        <v>628</v>
      </c>
      <c r="G4" s="46" t="s">
        <v>629</v>
      </c>
      <c r="H4" s="46" t="s">
        <v>630</v>
      </c>
      <c r="I4" s="46" t="s">
        <v>631</v>
      </c>
      <c r="J4" s="46" t="s">
        <v>632</v>
      </c>
      <c r="K4" s="47" t="s">
        <v>622</v>
      </c>
      <c r="L4" s="47" t="s">
        <v>633</v>
      </c>
    </row>
    <row r="5" spans="1:12" ht="86.4" x14ac:dyDescent="0.3">
      <c r="A5" s="46" t="s">
        <v>634</v>
      </c>
      <c r="B5" s="46" t="s">
        <v>635</v>
      </c>
      <c r="C5" s="46" t="s">
        <v>636</v>
      </c>
      <c r="D5" s="46" t="s">
        <v>637</v>
      </c>
      <c r="E5" s="46" t="s">
        <v>638</v>
      </c>
      <c r="F5" s="46" t="s">
        <v>639</v>
      </c>
      <c r="G5" s="46" t="s">
        <v>640</v>
      </c>
      <c r="H5" s="46" t="s">
        <v>641</v>
      </c>
      <c r="I5" s="46" t="s">
        <v>642</v>
      </c>
      <c r="J5" s="46" t="s">
        <v>643</v>
      </c>
      <c r="K5" s="47" t="s">
        <v>622</v>
      </c>
      <c r="L5" s="47" t="s">
        <v>644</v>
      </c>
    </row>
    <row r="6" spans="1:12" ht="72" x14ac:dyDescent="0.3">
      <c r="A6" s="46" t="s">
        <v>645</v>
      </c>
      <c r="B6" s="46" t="s">
        <v>646</v>
      </c>
      <c r="C6" s="46" t="s">
        <v>647</v>
      </c>
      <c r="D6" s="46" t="s">
        <v>648</v>
      </c>
      <c r="E6" s="46" t="s">
        <v>649</v>
      </c>
      <c r="F6" s="46" t="s">
        <v>650</v>
      </c>
      <c r="G6" s="46" t="s">
        <v>651</v>
      </c>
      <c r="H6" s="46" t="s">
        <v>652</v>
      </c>
      <c r="I6" s="46" t="s">
        <v>653</v>
      </c>
      <c r="J6" s="46" t="s">
        <v>654</v>
      </c>
      <c r="K6" s="47" t="s">
        <v>655</v>
      </c>
      <c r="L6" s="47" t="s">
        <v>267</v>
      </c>
    </row>
    <row r="7" spans="1:12" ht="72" x14ac:dyDescent="0.3">
      <c r="A7" s="46" t="s">
        <v>656</v>
      </c>
      <c r="B7" s="46" t="s">
        <v>657</v>
      </c>
      <c r="C7" s="46" t="s">
        <v>658</v>
      </c>
      <c r="D7" s="46" t="s">
        <v>659</v>
      </c>
      <c r="E7" s="46" t="s">
        <v>660</v>
      </c>
      <c r="F7" s="46" t="s">
        <v>661</v>
      </c>
      <c r="G7" s="46" t="s">
        <v>662</v>
      </c>
      <c r="H7" s="46" t="s">
        <v>663</v>
      </c>
      <c r="I7" s="46" t="s">
        <v>664</v>
      </c>
      <c r="J7" s="46" t="s">
        <v>665</v>
      </c>
      <c r="K7" s="47" t="s">
        <v>666</v>
      </c>
      <c r="L7" s="47" t="s">
        <v>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0"/>
  <sheetViews>
    <sheetView workbookViewId="0"/>
  </sheetViews>
  <sheetFormatPr defaultRowHeight="14.4" x14ac:dyDescent="0.3"/>
  <cols>
    <col min="1" max="1" width="18" customWidth="1"/>
    <col min="2" max="2" width="20" customWidth="1"/>
    <col min="3" max="3" width="16" customWidth="1"/>
    <col min="4" max="4" width="14" customWidth="1"/>
    <col min="5" max="5" width="55" customWidth="1"/>
    <col min="6" max="6" width="18" customWidth="1"/>
    <col min="7" max="7" width="45" customWidth="1"/>
  </cols>
  <sheetData>
    <row r="1" spans="1:7" ht="28.8" x14ac:dyDescent="0.3">
      <c r="A1" s="45" t="s">
        <v>596</v>
      </c>
      <c r="B1" s="45" t="s">
        <v>668</v>
      </c>
      <c r="C1" s="45" t="s">
        <v>669</v>
      </c>
      <c r="D1" s="45" t="s">
        <v>670</v>
      </c>
      <c r="E1" s="45" t="s">
        <v>42</v>
      </c>
      <c r="F1" s="45" t="s">
        <v>599</v>
      </c>
      <c r="G1" s="45" t="s">
        <v>600</v>
      </c>
    </row>
    <row r="2" spans="1:7" ht="28.8" x14ac:dyDescent="0.3">
      <c r="A2" s="41" t="s">
        <v>601</v>
      </c>
      <c r="B2" s="41" t="s">
        <v>671</v>
      </c>
      <c r="C2" s="48" t="s">
        <v>346</v>
      </c>
      <c r="D2" s="48" t="s">
        <v>346</v>
      </c>
      <c r="E2" s="41" t="s">
        <v>672</v>
      </c>
      <c r="F2" s="47" t="s">
        <v>673</v>
      </c>
      <c r="G2" s="47" t="s">
        <v>260</v>
      </c>
    </row>
    <row r="3" spans="1:7" ht="28.8" x14ac:dyDescent="0.3">
      <c r="A3" s="41" t="s">
        <v>601</v>
      </c>
      <c r="B3" s="41" t="s">
        <v>674</v>
      </c>
      <c r="C3" s="48" t="s">
        <v>346</v>
      </c>
      <c r="D3" s="48" t="s">
        <v>346</v>
      </c>
      <c r="E3" s="41" t="s">
        <v>675</v>
      </c>
      <c r="F3" s="47" t="s">
        <v>673</v>
      </c>
      <c r="G3" s="47" t="s">
        <v>260</v>
      </c>
    </row>
    <row r="4" spans="1:7" ht="28.8" x14ac:dyDescent="0.3">
      <c r="A4" s="41" t="s">
        <v>601</v>
      </c>
      <c r="B4" s="41" t="s">
        <v>676</v>
      </c>
      <c r="C4" s="48" t="s">
        <v>346</v>
      </c>
      <c r="D4" s="48" t="s">
        <v>346</v>
      </c>
      <c r="E4" s="41" t="s">
        <v>677</v>
      </c>
      <c r="F4" s="47" t="s">
        <v>673</v>
      </c>
      <c r="G4" s="47" t="s">
        <v>260</v>
      </c>
    </row>
    <row r="5" spans="1:7" ht="43.2" x14ac:dyDescent="0.3">
      <c r="A5" s="41" t="s">
        <v>612</v>
      </c>
      <c r="B5" s="41" t="s">
        <v>678</v>
      </c>
      <c r="C5" s="48" t="s">
        <v>349</v>
      </c>
      <c r="D5" s="48" t="s">
        <v>346</v>
      </c>
      <c r="E5" s="41" t="s">
        <v>679</v>
      </c>
      <c r="F5" s="47" t="s">
        <v>673</v>
      </c>
      <c r="G5" s="47" t="s">
        <v>260</v>
      </c>
    </row>
    <row r="6" spans="1:7" ht="28.8" x14ac:dyDescent="0.3">
      <c r="A6" s="41" t="s">
        <v>612</v>
      </c>
      <c r="B6" s="41" t="s">
        <v>680</v>
      </c>
      <c r="C6" s="48" t="s">
        <v>349</v>
      </c>
      <c r="D6" s="48" t="s">
        <v>349</v>
      </c>
      <c r="E6" s="41" t="s">
        <v>681</v>
      </c>
      <c r="F6" s="47" t="s">
        <v>673</v>
      </c>
      <c r="G6" s="47" t="s">
        <v>260</v>
      </c>
    </row>
    <row r="7" spans="1:7" ht="28.8" x14ac:dyDescent="0.3">
      <c r="A7" s="41" t="s">
        <v>612</v>
      </c>
      <c r="B7" s="41" t="s">
        <v>682</v>
      </c>
      <c r="C7" s="48" t="s">
        <v>366</v>
      </c>
      <c r="D7" s="48" t="s">
        <v>346</v>
      </c>
      <c r="E7" s="41" t="s">
        <v>683</v>
      </c>
      <c r="F7" s="47" t="s">
        <v>673</v>
      </c>
      <c r="G7" s="47" t="s">
        <v>260</v>
      </c>
    </row>
    <row r="8" spans="1:7" ht="28.8" x14ac:dyDescent="0.3">
      <c r="A8" s="41" t="s">
        <v>612</v>
      </c>
      <c r="B8" s="41" t="s">
        <v>684</v>
      </c>
      <c r="C8" s="48" t="s">
        <v>366</v>
      </c>
      <c r="D8" s="48" t="s">
        <v>366</v>
      </c>
      <c r="E8" s="41" t="s">
        <v>685</v>
      </c>
      <c r="F8" s="47" t="s">
        <v>673</v>
      </c>
      <c r="G8" s="47" t="s">
        <v>260</v>
      </c>
    </row>
    <row r="9" spans="1:7" ht="28.8" x14ac:dyDescent="0.3">
      <c r="A9" s="41" t="s">
        <v>612</v>
      </c>
      <c r="B9" s="41" t="s">
        <v>686</v>
      </c>
      <c r="C9" s="48" t="s">
        <v>366</v>
      </c>
      <c r="D9" s="48" t="s">
        <v>366</v>
      </c>
      <c r="E9" s="41" t="s">
        <v>687</v>
      </c>
      <c r="F9" s="47" t="s">
        <v>673</v>
      </c>
      <c r="G9" s="47" t="s">
        <v>260</v>
      </c>
    </row>
    <row r="10" spans="1:7" ht="28.8" x14ac:dyDescent="0.3">
      <c r="A10" s="41" t="s">
        <v>612</v>
      </c>
      <c r="B10" s="41" t="s">
        <v>688</v>
      </c>
      <c r="C10" s="48" t="s">
        <v>366</v>
      </c>
      <c r="D10" s="48" t="s">
        <v>366</v>
      </c>
      <c r="E10" s="41" t="s">
        <v>689</v>
      </c>
      <c r="F10" s="47" t="s">
        <v>673</v>
      </c>
      <c r="G10" s="47" t="s">
        <v>260</v>
      </c>
    </row>
    <row r="11" spans="1:7" ht="43.2" x14ac:dyDescent="0.3">
      <c r="A11" s="41" t="s">
        <v>623</v>
      </c>
      <c r="B11" s="41" t="s">
        <v>690</v>
      </c>
      <c r="C11" s="48" t="s">
        <v>349</v>
      </c>
      <c r="D11" s="48" t="s">
        <v>346</v>
      </c>
      <c r="E11" s="41" t="s">
        <v>691</v>
      </c>
      <c r="F11" s="47" t="s">
        <v>692</v>
      </c>
      <c r="G11" s="47" t="s">
        <v>633</v>
      </c>
    </row>
    <row r="12" spans="1:7" ht="43.2" x14ac:dyDescent="0.3">
      <c r="A12" s="41" t="s">
        <v>623</v>
      </c>
      <c r="B12" s="41" t="s">
        <v>693</v>
      </c>
      <c r="C12" s="48" t="s">
        <v>349</v>
      </c>
      <c r="D12" s="48" t="s">
        <v>346</v>
      </c>
      <c r="E12" s="41" t="s">
        <v>694</v>
      </c>
      <c r="F12" s="47" t="s">
        <v>692</v>
      </c>
      <c r="G12" s="47" t="s">
        <v>633</v>
      </c>
    </row>
    <row r="13" spans="1:7" ht="43.2" x14ac:dyDescent="0.3">
      <c r="A13" s="41" t="s">
        <v>623</v>
      </c>
      <c r="B13" s="41" t="s">
        <v>695</v>
      </c>
      <c r="C13" s="48" t="s">
        <v>346</v>
      </c>
      <c r="D13" s="48" t="s">
        <v>346</v>
      </c>
      <c r="E13" s="41" t="s">
        <v>696</v>
      </c>
      <c r="F13" s="47" t="s">
        <v>692</v>
      </c>
      <c r="G13" s="47" t="s">
        <v>633</v>
      </c>
    </row>
    <row r="14" spans="1:7" ht="43.2" x14ac:dyDescent="0.3">
      <c r="A14" s="41" t="s">
        <v>623</v>
      </c>
      <c r="B14" s="41" t="s">
        <v>697</v>
      </c>
      <c r="C14" s="48" t="s">
        <v>346</v>
      </c>
      <c r="D14" s="48" t="s">
        <v>346</v>
      </c>
      <c r="E14" s="41" t="s">
        <v>698</v>
      </c>
      <c r="F14" s="47" t="s">
        <v>692</v>
      </c>
      <c r="G14" s="47" t="s">
        <v>633</v>
      </c>
    </row>
    <row r="15" spans="1:7" ht="43.2" x14ac:dyDescent="0.3">
      <c r="A15" s="41" t="s">
        <v>623</v>
      </c>
      <c r="B15" s="41" t="s">
        <v>699</v>
      </c>
      <c r="C15" s="48" t="s">
        <v>346</v>
      </c>
      <c r="D15" s="48" t="s">
        <v>346</v>
      </c>
      <c r="E15" s="41" t="s">
        <v>700</v>
      </c>
      <c r="F15" s="47" t="s">
        <v>692</v>
      </c>
      <c r="G15" s="47" t="s">
        <v>633</v>
      </c>
    </row>
    <row r="16" spans="1:7" ht="43.2" x14ac:dyDescent="0.3">
      <c r="A16" s="41" t="s">
        <v>623</v>
      </c>
      <c r="B16" s="41" t="s">
        <v>701</v>
      </c>
      <c r="C16" s="48" t="s">
        <v>366</v>
      </c>
      <c r="D16" s="48" t="s">
        <v>346</v>
      </c>
      <c r="E16" s="41" t="s">
        <v>702</v>
      </c>
      <c r="F16" s="47" t="s">
        <v>692</v>
      </c>
      <c r="G16" s="47" t="s">
        <v>633</v>
      </c>
    </row>
    <row r="17" spans="1:7" ht="43.2" x14ac:dyDescent="0.3">
      <c r="A17" s="41" t="s">
        <v>634</v>
      </c>
      <c r="B17" s="41" t="s">
        <v>703</v>
      </c>
      <c r="C17" s="48" t="s">
        <v>349</v>
      </c>
      <c r="D17" s="48" t="s">
        <v>349</v>
      </c>
      <c r="E17" s="41" t="s">
        <v>704</v>
      </c>
      <c r="F17" s="47" t="s">
        <v>705</v>
      </c>
      <c r="G17" s="47" t="s">
        <v>644</v>
      </c>
    </row>
    <row r="18" spans="1:7" ht="43.2" x14ac:dyDescent="0.3">
      <c r="A18" s="41" t="s">
        <v>634</v>
      </c>
      <c r="B18" s="41" t="s">
        <v>706</v>
      </c>
      <c r="C18" s="48" t="s">
        <v>349</v>
      </c>
      <c r="D18" s="48" t="s">
        <v>349</v>
      </c>
      <c r="E18" s="41" t="s">
        <v>707</v>
      </c>
      <c r="F18" s="47" t="s">
        <v>705</v>
      </c>
      <c r="G18" s="47" t="s">
        <v>644</v>
      </c>
    </row>
    <row r="19" spans="1:7" ht="43.2" x14ac:dyDescent="0.3">
      <c r="A19" s="41" t="s">
        <v>634</v>
      </c>
      <c r="B19" s="41" t="s">
        <v>708</v>
      </c>
      <c r="C19" s="48" t="s">
        <v>346</v>
      </c>
      <c r="D19" s="48" t="s">
        <v>346</v>
      </c>
      <c r="E19" s="41" t="s">
        <v>709</v>
      </c>
      <c r="F19" s="47" t="s">
        <v>705</v>
      </c>
      <c r="G19" s="47" t="s">
        <v>644</v>
      </c>
    </row>
    <row r="20" spans="1:7" ht="43.2" x14ac:dyDescent="0.3">
      <c r="A20" s="41" t="s">
        <v>634</v>
      </c>
      <c r="B20" s="41" t="s">
        <v>710</v>
      </c>
      <c r="C20" s="48" t="s">
        <v>346</v>
      </c>
      <c r="D20" s="48" t="s">
        <v>346</v>
      </c>
      <c r="E20" s="41" t="s">
        <v>711</v>
      </c>
      <c r="F20" s="47" t="s">
        <v>705</v>
      </c>
      <c r="G20" s="47" t="s">
        <v>644</v>
      </c>
    </row>
    <row r="21" spans="1:7" ht="43.2" x14ac:dyDescent="0.3">
      <c r="A21" s="41" t="s">
        <v>634</v>
      </c>
      <c r="B21" s="41" t="s">
        <v>712</v>
      </c>
      <c r="C21" s="48" t="s">
        <v>346</v>
      </c>
      <c r="D21" s="48" t="s">
        <v>349</v>
      </c>
      <c r="E21" s="41" t="s">
        <v>713</v>
      </c>
      <c r="F21" s="47" t="s">
        <v>705</v>
      </c>
      <c r="G21" s="47" t="s">
        <v>644</v>
      </c>
    </row>
    <row r="22" spans="1:7" ht="28.8" x14ac:dyDescent="0.3">
      <c r="A22" s="41" t="s">
        <v>634</v>
      </c>
      <c r="B22" s="41" t="s">
        <v>714</v>
      </c>
      <c r="C22" s="48" t="s">
        <v>349</v>
      </c>
      <c r="D22" s="48" t="s">
        <v>346</v>
      </c>
      <c r="E22" s="41" t="s">
        <v>715</v>
      </c>
      <c r="F22" s="47" t="s">
        <v>716</v>
      </c>
      <c r="G22" s="47" t="s">
        <v>275</v>
      </c>
    </row>
    <row r="23" spans="1:7" ht="43.2" x14ac:dyDescent="0.3">
      <c r="A23" s="41" t="s">
        <v>634</v>
      </c>
      <c r="B23" s="41" t="s">
        <v>717</v>
      </c>
      <c r="C23" s="48" t="s">
        <v>366</v>
      </c>
      <c r="D23" s="48" t="s">
        <v>346</v>
      </c>
      <c r="E23" s="41" t="s">
        <v>718</v>
      </c>
      <c r="F23" s="47" t="s">
        <v>705</v>
      </c>
      <c r="G23" s="47" t="s">
        <v>644</v>
      </c>
    </row>
    <row r="24" spans="1:7" ht="28.8" x14ac:dyDescent="0.3">
      <c r="A24" s="41" t="s">
        <v>645</v>
      </c>
      <c r="B24" s="41" t="s">
        <v>719</v>
      </c>
      <c r="C24" s="48" t="s">
        <v>346</v>
      </c>
      <c r="D24" s="48" t="s">
        <v>346</v>
      </c>
      <c r="E24" s="41" t="s">
        <v>720</v>
      </c>
      <c r="F24" s="47" t="s">
        <v>721</v>
      </c>
      <c r="G24" s="47" t="s">
        <v>267</v>
      </c>
    </row>
    <row r="25" spans="1:7" ht="28.8" x14ac:dyDescent="0.3">
      <c r="A25" s="41" t="s">
        <v>645</v>
      </c>
      <c r="B25" s="41" t="s">
        <v>722</v>
      </c>
      <c r="C25" s="48" t="s">
        <v>346</v>
      </c>
      <c r="D25" s="48" t="s">
        <v>349</v>
      </c>
      <c r="E25" s="41" t="s">
        <v>723</v>
      </c>
      <c r="F25" s="47" t="s">
        <v>721</v>
      </c>
      <c r="G25" s="47" t="s">
        <v>267</v>
      </c>
    </row>
    <row r="26" spans="1:7" ht="28.8" x14ac:dyDescent="0.3">
      <c r="A26" s="41" t="s">
        <v>645</v>
      </c>
      <c r="B26" s="41" t="s">
        <v>724</v>
      </c>
      <c r="C26" s="48" t="s">
        <v>346</v>
      </c>
      <c r="D26" s="48" t="s">
        <v>349</v>
      </c>
      <c r="E26" s="41" t="s">
        <v>725</v>
      </c>
      <c r="F26" s="47" t="s">
        <v>721</v>
      </c>
      <c r="G26" s="47" t="s">
        <v>267</v>
      </c>
    </row>
    <row r="27" spans="1:7" ht="28.8" x14ac:dyDescent="0.3">
      <c r="A27" s="41" t="s">
        <v>645</v>
      </c>
      <c r="B27" s="41" t="s">
        <v>726</v>
      </c>
      <c r="C27" s="48" t="s">
        <v>349</v>
      </c>
      <c r="D27" s="48" t="s">
        <v>349</v>
      </c>
      <c r="E27" s="41" t="s">
        <v>727</v>
      </c>
      <c r="F27" s="47" t="s">
        <v>721</v>
      </c>
      <c r="G27" s="47" t="s">
        <v>267</v>
      </c>
    </row>
    <row r="28" spans="1:7" ht="28.8" x14ac:dyDescent="0.3">
      <c r="A28" s="41" t="s">
        <v>645</v>
      </c>
      <c r="B28" s="41" t="s">
        <v>728</v>
      </c>
      <c r="C28" s="48" t="s">
        <v>346</v>
      </c>
      <c r="D28" s="48" t="s">
        <v>346</v>
      </c>
      <c r="E28" s="41" t="s">
        <v>729</v>
      </c>
      <c r="F28" s="47" t="s">
        <v>721</v>
      </c>
      <c r="G28" s="47" t="s">
        <v>267</v>
      </c>
    </row>
    <row r="29" spans="1:7" ht="28.8" x14ac:dyDescent="0.3">
      <c r="A29" s="41" t="s">
        <v>645</v>
      </c>
      <c r="B29" s="41" t="s">
        <v>730</v>
      </c>
      <c r="C29" s="48" t="s">
        <v>366</v>
      </c>
      <c r="D29" s="48" t="s">
        <v>346</v>
      </c>
      <c r="E29" s="41" t="s">
        <v>731</v>
      </c>
      <c r="F29" s="47" t="s">
        <v>721</v>
      </c>
      <c r="G29" s="47" t="s">
        <v>267</v>
      </c>
    </row>
    <row r="30" spans="1:7" ht="28.8" x14ac:dyDescent="0.3">
      <c r="A30" s="41" t="s">
        <v>656</v>
      </c>
      <c r="B30" s="41" t="s">
        <v>657</v>
      </c>
      <c r="C30" s="48" t="s">
        <v>349</v>
      </c>
      <c r="D30" s="48" t="s">
        <v>366</v>
      </c>
      <c r="E30" s="41" t="s">
        <v>732</v>
      </c>
      <c r="F30" s="47" t="s">
        <v>673</v>
      </c>
      <c r="G30" s="47" t="s">
        <v>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04"/>
  <sheetViews>
    <sheetView tabSelected="1" topLeftCell="A60" workbookViewId="0"/>
  </sheetViews>
  <sheetFormatPr defaultRowHeight="14.4" x14ac:dyDescent="0.3"/>
  <cols>
    <col min="1" max="1" width="16" customWidth="1"/>
    <col min="2" max="2" width="18" customWidth="1"/>
    <col min="3" max="3" width="12" customWidth="1"/>
    <col min="4" max="4" width="34" customWidth="1"/>
    <col min="5" max="5" width="14" customWidth="1"/>
    <col min="6" max="6" width="52" customWidth="1"/>
    <col min="7" max="7" width="18" customWidth="1"/>
    <col min="8" max="8" width="45" customWidth="1"/>
  </cols>
  <sheetData>
    <row r="1" spans="1:8" ht="28.8" x14ac:dyDescent="0.3">
      <c r="A1" s="45" t="s">
        <v>596</v>
      </c>
      <c r="B1" s="45" t="s">
        <v>668</v>
      </c>
      <c r="C1" s="45" t="s">
        <v>733</v>
      </c>
      <c r="D1" s="45" t="s">
        <v>159</v>
      </c>
      <c r="E1" s="45" t="s">
        <v>734</v>
      </c>
      <c r="F1" s="45" t="s">
        <v>735</v>
      </c>
      <c r="G1" s="45" t="s">
        <v>599</v>
      </c>
      <c r="H1" s="45" t="s">
        <v>600</v>
      </c>
    </row>
    <row r="2" spans="1:8" ht="28.8" x14ac:dyDescent="0.3">
      <c r="A2" s="41" t="s">
        <v>601</v>
      </c>
      <c r="B2" s="41" t="s">
        <v>671</v>
      </c>
      <c r="C2" s="41" t="s">
        <v>43</v>
      </c>
      <c r="D2" s="41" t="s">
        <v>44</v>
      </c>
      <c r="E2" s="48" t="s">
        <v>346</v>
      </c>
      <c r="F2" s="41" t="s">
        <v>736</v>
      </c>
      <c r="G2" s="47" t="s">
        <v>673</v>
      </c>
      <c r="H2" s="47" t="s">
        <v>260</v>
      </c>
    </row>
    <row r="3" spans="1:8" ht="28.8" x14ac:dyDescent="0.3">
      <c r="A3" s="41" t="s">
        <v>601</v>
      </c>
      <c r="B3" s="41" t="s">
        <v>671</v>
      </c>
      <c r="C3" s="41" t="s">
        <v>49</v>
      </c>
      <c r="D3" s="41" t="s">
        <v>50</v>
      </c>
      <c r="E3" s="48" t="s">
        <v>346</v>
      </c>
      <c r="F3" s="41" t="s">
        <v>737</v>
      </c>
      <c r="G3" s="47" t="s">
        <v>673</v>
      </c>
      <c r="H3" s="47" t="s">
        <v>260</v>
      </c>
    </row>
    <row r="4" spans="1:8" ht="28.8" x14ac:dyDescent="0.3">
      <c r="A4" s="41" t="s">
        <v>601</v>
      </c>
      <c r="B4" s="41" t="s">
        <v>671</v>
      </c>
      <c r="C4" s="41" t="s">
        <v>55</v>
      </c>
      <c r="D4" s="41" t="s">
        <v>56</v>
      </c>
      <c r="E4" s="48" t="s">
        <v>349</v>
      </c>
      <c r="F4" s="41" t="s">
        <v>738</v>
      </c>
      <c r="G4" s="47" t="s">
        <v>673</v>
      </c>
      <c r="H4" s="47" t="s">
        <v>260</v>
      </c>
    </row>
    <row r="5" spans="1:8" ht="28.8" x14ac:dyDescent="0.3">
      <c r="A5" s="41" t="s">
        <v>601</v>
      </c>
      <c r="B5" s="41" t="s">
        <v>671</v>
      </c>
      <c r="C5" s="41" t="s">
        <v>61</v>
      </c>
      <c r="D5" s="41" t="s">
        <v>739</v>
      </c>
      <c r="E5" s="48" t="s">
        <v>346</v>
      </c>
      <c r="F5" s="41" t="s">
        <v>740</v>
      </c>
      <c r="G5" s="47" t="s">
        <v>673</v>
      </c>
      <c r="H5" s="47" t="s">
        <v>260</v>
      </c>
    </row>
    <row r="6" spans="1:8" ht="28.8" x14ac:dyDescent="0.3">
      <c r="A6" s="41" t="s">
        <v>601</v>
      </c>
      <c r="B6" s="41" t="s">
        <v>671</v>
      </c>
      <c r="C6" s="41" t="s">
        <v>67</v>
      </c>
      <c r="D6" s="41" t="s">
        <v>68</v>
      </c>
      <c r="E6" s="48" t="s">
        <v>366</v>
      </c>
      <c r="F6" s="41" t="s">
        <v>741</v>
      </c>
      <c r="G6" s="47" t="s">
        <v>673</v>
      </c>
      <c r="H6" s="47" t="s">
        <v>260</v>
      </c>
    </row>
    <row r="7" spans="1:8" ht="28.8" x14ac:dyDescent="0.3">
      <c r="A7" s="41" t="s">
        <v>601</v>
      </c>
      <c r="B7" s="41" t="s">
        <v>671</v>
      </c>
      <c r="C7" s="41" t="s">
        <v>73</v>
      </c>
      <c r="D7" s="41" t="s">
        <v>74</v>
      </c>
      <c r="E7" s="48" t="s">
        <v>366</v>
      </c>
      <c r="F7" s="41" t="s">
        <v>742</v>
      </c>
      <c r="G7" s="47" t="s">
        <v>673</v>
      </c>
      <c r="H7" s="47" t="s">
        <v>260</v>
      </c>
    </row>
    <row r="8" spans="1:8" ht="28.8" x14ac:dyDescent="0.3">
      <c r="A8" s="41" t="s">
        <v>601</v>
      </c>
      <c r="B8" s="41" t="s">
        <v>671</v>
      </c>
      <c r="C8" s="41" t="s">
        <v>79</v>
      </c>
      <c r="D8" s="41" t="s">
        <v>80</v>
      </c>
      <c r="E8" s="48" t="s">
        <v>346</v>
      </c>
      <c r="F8" s="41" t="s">
        <v>743</v>
      </c>
      <c r="G8" s="47" t="s">
        <v>673</v>
      </c>
      <c r="H8" s="47" t="s">
        <v>260</v>
      </c>
    </row>
    <row r="9" spans="1:8" ht="28.8" x14ac:dyDescent="0.3">
      <c r="A9" s="41" t="s">
        <v>601</v>
      </c>
      <c r="B9" s="41" t="s">
        <v>674</v>
      </c>
      <c r="C9" s="41" t="s">
        <v>43</v>
      </c>
      <c r="D9" s="41" t="s">
        <v>44</v>
      </c>
      <c r="E9" s="48" t="s">
        <v>346</v>
      </c>
      <c r="F9" s="41" t="s">
        <v>736</v>
      </c>
      <c r="G9" s="47" t="s">
        <v>673</v>
      </c>
      <c r="H9" s="47" t="s">
        <v>260</v>
      </c>
    </row>
    <row r="10" spans="1:8" ht="28.8" x14ac:dyDescent="0.3">
      <c r="A10" s="41" t="s">
        <v>601</v>
      </c>
      <c r="B10" s="41" t="s">
        <v>674</v>
      </c>
      <c r="C10" s="41" t="s">
        <v>49</v>
      </c>
      <c r="D10" s="41" t="s">
        <v>50</v>
      </c>
      <c r="E10" s="48" t="s">
        <v>346</v>
      </c>
      <c r="F10" s="41" t="s">
        <v>737</v>
      </c>
      <c r="G10" s="47" t="s">
        <v>673</v>
      </c>
      <c r="H10" s="47" t="s">
        <v>260</v>
      </c>
    </row>
    <row r="11" spans="1:8" ht="28.8" x14ac:dyDescent="0.3">
      <c r="A11" s="41" t="s">
        <v>601</v>
      </c>
      <c r="B11" s="41" t="s">
        <v>674</v>
      </c>
      <c r="C11" s="41" t="s">
        <v>55</v>
      </c>
      <c r="D11" s="41" t="s">
        <v>56</v>
      </c>
      <c r="E11" s="48" t="s">
        <v>349</v>
      </c>
      <c r="F11" s="41" t="s">
        <v>738</v>
      </c>
      <c r="G11" s="47" t="s">
        <v>673</v>
      </c>
      <c r="H11" s="47" t="s">
        <v>260</v>
      </c>
    </row>
    <row r="12" spans="1:8" ht="28.8" x14ac:dyDescent="0.3">
      <c r="A12" s="41" t="s">
        <v>601</v>
      </c>
      <c r="B12" s="41" t="s">
        <v>674</v>
      </c>
      <c r="C12" s="41" t="s">
        <v>61</v>
      </c>
      <c r="D12" s="41" t="s">
        <v>739</v>
      </c>
      <c r="E12" s="48" t="s">
        <v>346</v>
      </c>
      <c r="F12" s="41" t="s">
        <v>740</v>
      </c>
      <c r="G12" s="47" t="s">
        <v>673</v>
      </c>
      <c r="H12" s="47" t="s">
        <v>260</v>
      </c>
    </row>
    <row r="13" spans="1:8" ht="28.8" x14ac:dyDescent="0.3">
      <c r="A13" s="41" t="s">
        <v>601</v>
      </c>
      <c r="B13" s="41" t="s">
        <v>674</v>
      </c>
      <c r="C13" s="41" t="s">
        <v>67</v>
      </c>
      <c r="D13" s="41" t="s">
        <v>68</v>
      </c>
      <c r="E13" s="48" t="s">
        <v>366</v>
      </c>
      <c r="F13" s="41" t="s">
        <v>741</v>
      </c>
      <c r="G13" s="47" t="s">
        <v>673</v>
      </c>
      <c r="H13" s="47" t="s">
        <v>260</v>
      </c>
    </row>
    <row r="14" spans="1:8" ht="28.8" x14ac:dyDescent="0.3">
      <c r="A14" s="41" t="s">
        <v>601</v>
      </c>
      <c r="B14" s="41" t="s">
        <v>674</v>
      </c>
      <c r="C14" s="41" t="s">
        <v>73</v>
      </c>
      <c r="D14" s="41" t="s">
        <v>74</v>
      </c>
      <c r="E14" s="48" t="s">
        <v>366</v>
      </c>
      <c r="F14" s="41" t="s">
        <v>742</v>
      </c>
      <c r="G14" s="47" t="s">
        <v>673</v>
      </c>
      <c r="H14" s="47" t="s">
        <v>260</v>
      </c>
    </row>
    <row r="15" spans="1:8" ht="28.8" x14ac:dyDescent="0.3">
      <c r="A15" s="41" t="s">
        <v>601</v>
      </c>
      <c r="B15" s="41" t="s">
        <v>674</v>
      </c>
      <c r="C15" s="41" t="s">
        <v>79</v>
      </c>
      <c r="D15" s="41" t="s">
        <v>80</v>
      </c>
      <c r="E15" s="48" t="s">
        <v>346</v>
      </c>
      <c r="F15" s="41" t="s">
        <v>743</v>
      </c>
      <c r="G15" s="47" t="s">
        <v>673</v>
      </c>
      <c r="H15" s="47" t="s">
        <v>260</v>
      </c>
    </row>
    <row r="16" spans="1:8" ht="28.8" x14ac:dyDescent="0.3">
      <c r="A16" s="41" t="s">
        <v>601</v>
      </c>
      <c r="B16" s="41" t="s">
        <v>676</v>
      </c>
      <c r="C16" s="41" t="s">
        <v>43</v>
      </c>
      <c r="D16" s="41" t="s">
        <v>44</v>
      </c>
      <c r="E16" s="48" t="s">
        <v>349</v>
      </c>
      <c r="F16" s="41" t="s">
        <v>744</v>
      </c>
      <c r="G16" s="47" t="s">
        <v>673</v>
      </c>
      <c r="H16" s="47" t="s">
        <v>260</v>
      </c>
    </row>
    <row r="17" spans="1:8" ht="28.8" x14ac:dyDescent="0.3">
      <c r="A17" s="41" t="s">
        <v>601</v>
      </c>
      <c r="B17" s="41" t="s">
        <v>676</v>
      </c>
      <c r="C17" s="41" t="s">
        <v>49</v>
      </c>
      <c r="D17" s="41" t="s">
        <v>50</v>
      </c>
      <c r="E17" s="48" t="s">
        <v>346</v>
      </c>
      <c r="F17" s="41" t="s">
        <v>737</v>
      </c>
      <c r="G17" s="47" t="s">
        <v>673</v>
      </c>
      <c r="H17" s="47" t="s">
        <v>260</v>
      </c>
    </row>
    <row r="18" spans="1:8" ht="28.8" x14ac:dyDescent="0.3">
      <c r="A18" s="41" t="s">
        <v>601</v>
      </c>
      <c r="B18" s="41" t="s">
        <v>676</v>
      </c>
      <c r="C18" s="41" t="s">
        <v>55</v>
      </c>
      <c r="D18" s="41" t="s">
        <v>56</v>
      </c>
      <c r="E18" s="48" t="s">
        <v>346</v>
      </c>
      <c r="F18" s="41" t="s">
        <v>745</v>
      </c>
      <c r="G18" s="47" t="s">
        <v>673</v>
      </c>
      <c r="H18" s="47" t="s">
        <v>260</v>
      </c>
    </row>
    <row r="19" spans="1:8" ht="28.8" x14ac:dyDescent="0.3">
      <c r="A19" s="41" t="s">
        <v>601</v>
      </c>
      <c r="B19" s="41" t="s">
        <v>676</v>
      </c>
      <c r="C19" s="41" t="s">
        <v>61</v>
      </c>
      <c r="D19" s="41" t="s">
        <v>739</v>
      </c>
      <c r="E19" s="48" t="s">
        <v>346</v>
      </c>
      <c r="F19" s="41" t="s">
        <v>740</v>
      </c>
      <c r="G19" s="47" t="s">
        <v>673</v>
      </c>
      <c r="H19" s="47" t="s">
        <v>260</v>
      </c>
    </row>
    <row r="20" spans="1:8" ht="28.8" x14ac:dyDescent="0.3">
      <c r="A20" s="41" t="s">
        <v>601</v>
      </c>
      <c r="B20" s="41" t="s">
        <v>676</v>
      </c>
      <c r="C20" s="41" t="s">
        <v>67</v>
      </c>
      <c r="D20" s="41" t="s">
        <v>68</v>
      </c>
      <c r="E20" s="48" t="s">
        <v>366</v>
      </c>
      <c r="F20" s="41" t="s">
        <v>741</v>
      </c>
      <c r="G20" s="47" t="s">
        <v>673</v>
      </c>
      <c r="H20" s="47" t="s">
        <v>260</v>
      </c>
    </row>
    <row r="21" spans="1:8" ht="28.8" x14ac:dyDescent="0.3">
      <c r="A21" s="41" t="s">
        <v>601</v>
      </c>
      <c r="B21" s="41" t="s">
        <v>676</v>
      </c>
      <c r="C21" s="41" t="s">
        <v>73</v>
      </c>
      <c r="D21" s="41" t="s">
        <v>74</v>
      </c>
      <c r="E21" s="48" t="s">
        <v>366</v>
      </c>
      <c r="F21" s="41" t="s">
        <v>742</v>
      </c>
      <c r="G21" s="47" t="s">
        <v>673</v>
      </c>
      <c r="H21" s="47" t="s">
        <v>260</v>
      </c>
    </row>
    <row r="22" spans="1:8" ht="28.8" x14ac:dyDescent="0.3">
      <c r="A22" s="41" t="s">
        <v>601</v>
      </c>
      <c r="B22" s="41" t="s">
        <v>676</v>
      </c>
      <c r="C22" s="41" t="s">
        <v>79</v>
      </c>
      <c r="D22" s="41" t="s">
        <v>80</v>
      </c>
      <c r="E22" s="48" t="s">
        <v>346</v>
      </c>
      <c r="F22" s="41" t="s">
        <v>743</v>
      </c>
      <c r="G22" s="47" t="s">
        <v>673</v>
      </c>
      <c r="H22" s="47" t="s">
        <v>260</v>
      </c>
    </row>
    <row r="23" spans="1:8" ht="28.8" x14ac:dyDescent="0.3">
      <c r="A23" s="41" t="s">
        <v>612</v>
      </c>
      <c r="B23" s="41" t="s">
        <v>678</v>
      </c>
      <c r="C23" s="41" t="s">
        <v>43</v>
      </c>
      <c r="D23" s="41" t="s">
        <v>44</v>
      </c>
      <c r="E23" s="48" t="s">
        <v>349</v>
      </c>
      <c r="F23" s="41" t="s">
        <v>744</v>
      </c>
      <c r="G23" s="47" t="s">
        <v>673</v>
      </c>
      <c r="H23" s="47" t="s">
        <v>260</v>
      </c>
    </row>
    <row r="24" spans="1:8" ht="28.8" x14ac:dyDescent="0.3">
      <c r="A24" s="41" t="s">
        <v>612</v>
      </c>
      <c r="B24" s="41" t="s">
        <v>678</v>
      </c>
      <c r="C24" s="41" t="s">
        <v>49</v>
      </c>
      <c r="D24" s="41" t="s">
        <v>50</v>
      </c>
      <c r="E24" s="48" t="s">
        <v>349</v>
      </c>
      <c r="F24" s="41" t="s">
        <v>746</v>
      </c>
      <c r="G24" s="47" t="s">
        <v>673</v>
      </c>
      <c r="H24" s="47" t="s">
        <v>260</v>
      </c>
    </row>
    <row r="25" spans="1:8" ht="28.8" x14ac:dyDescent="0.3">
      <c r="A25" s="41" t="s">
        <v>612</v>
      </c>
      <c r="B25" s="41" t="s">
        <v>678</v>
      </c>
      <c r="C25" s="41" t="s">
        <v>55</v>
      </c>
      <c r="D25" s="41" t="s">
        <v>56</v>
      </c>
      <c r="E25" s="48" t="s">
        <v>346</v>
      </c>
      <c r="F25" s="41" t="s">
        <v>745</v>
      </c>
      <c r="G25" s="47" t="s">
        <v>673</v>
      </c>
      <c r="H25" s="47" t="s">
        <v>260</v>
      </c>
    </row>
    <row r="26" spans="1:8" ht="28.8" x14ac:dyDescent="0.3">
      <c r="A26" s="41" t="s">
        <v>612</v>
      </c>
      <c r="B26" s="41" t="s">
        <v>678</v>
      </c>
      <c r="C26" s="41" t="s">
        <v>61</v>
      </c>
      <c r="D26" s="41" t="s">
        <v>739</v>
      </c>
      <c r="E26" s="48" t="s">
        <v>366</v>
      </c>
      <c r="F26" s="41" t="s">
        <v>747</v>
      </c>
      <c r="G26" s="47" t="s">
        <v>673</v>
      </c>
      <c r="H26" s="47" t="s">
        <v>260</v>
      </c>
    </row>
    <row r="27" spans="1:8" ht="28.8" x14ac:dyDescent="0.3">
      <c r="A27" s="41" t="s">
        <v>612</v>
      </c>
      <c r="B27" s="41" t="s">
        <v>678</v>
      </c>
      <c r="C27" s="41" t="s">
        <v>67</v>
      </c>
      <c r="D27" s="41" t="s">
        <v>68</v>
      </c>
      <c r="E27" s="48" t="s">
        <v>346</v>
      </c>
      <c r="F27" s="41" t="s">
        <v>748</v>
      </c>
      <c r="G27" s="47" t="s">
        <v>673</v>
      </c>
      <c r="H27" s="47" t="s">
        <v>260</v>
      </c>
    </row>
    <row r="28" spans="1:8" ht="28.8" x14ac:dyDescent="0.3">
      <c r="A28" s="41" t="s">
        <v>612</v>
      </c>
      <c r="B28" s="41" t="s">
        <v>678</v>
      </c>
      <c r="C28" s="41" t="s">
        <v>73</v>
      </c>
      <c r="D28" s="41" t="s">
        <v>74</v>
      </c>
      <c r="E28" s="48" t="s">
        <v>366</v>
      </c>
      <c r="F28" s="41" t="s">
        <v>742</v>
      </c>
      <c r="G28" s="47" t="s">
        <v>673</v>
      </c>
      <c r="H28" s="47" t="s">
        <v>260</v>
      </c>
    </row>
    <row r="29" spans="1:8" ht="28.8" x14ac:dyDescent="0.3">
      <c r="A29" s="41" t="s">
        <v>612</v>
      </c>
      <c r="B29" s="41" t="s">
        <v>678</v>
      </c>
      <c r="C29" s="41" t="s">
        <v>79</v>
      </c>
      <c r="D29" s="41" t="s">
        <v>80</v>
      </c>
      <c r="E29" s="48" t="s">
        <v>346</v>
      </c>
      <c r="F29" s="41" t="s">
        <v>743</v>
      </c>
      <c r="G29" s="47" t="s">
        <v>673</v>
      </c>
      <c r="H29" s="47" t="s">
        <v>260</v>
      </c>
    </row>
    <row r="30" spans="1:8" ht="28.8" x14ac:dyDescent="0.3">
      <c r="A30" s="41" t="s">
        <v>612</v>
      </c>
      <c r="B30" s="41" t="s">
        <v>680</v>
      </c>
      <c r="C30" s="41" t="s">
        <v>43</v>
      </c>
      <c r="D30" s="41" t="s">
        <v>44</v>
      </c>
      <c r="E30" s="48" t="s">
        <v>349</v>
      </c>
      <c r="F30" s="41" t="s">
        <v>744</v>
      </c>
      <c r="G30" s="47" t="s">
        <v>673</v>
      </c>
      <c r="H30" s="47" t="s">
        <v>260</v>
      </c>
    </row>
    <row r="31" spans="1:8" ht="28.8" x14ac:dyDescent="0.3">
      <c r="A31" s="41" t="s">
        <v>612</v>
      </c>
      <c r="B31" s="41" t="s">
        <v>680</v>
      </c>
      <c r="C31" s="41" t="s">
        <v>49</v>
      </c>
      <c r="D31" s="41" t="s">
        <v>50</v>
      </c>
      <c r="E31" s="48" t="s">
        <v>349</v>
      </c>
      <c r="F31" s="41" t="s">
        <v>746</v>
      </c>
      <c r="G31" s="47" t="s">
        <v>673</v>
      </c>
      <c r="H31" s="47" t="s">
        <v>260</v>
      </c>
    </row>
    <row r="32" spans="1:8" ht="28.8" x14ac:dyDescent="0.3">
      <c r="A32" s="41" t="s">
        <v>612</v>
      </c>
      <c r="B32" s="41" t="s">
        <v>680</v>
      </c>
      <c r="C32" s="41" t="s">
        <v>55</v>
      </c>
      <c r="D32" s="41" t="s">
        <v>56</v>
      </c>
      <c r="E32" s="48" t="s">
        <v>346</v>
      </c>
      <c r="F32" s="41" t="s">
        <v>745</v>
      </c>
      <c r="G32" s="47" t="s">
        <v>673</v>
      </c>
      <c r="H32" s="47" t="s">
        <v>260</v>
      </c>
    </row>
    <row r="33" spans="1:8" ht="28.8" x14ac:dyDescent="0.3">
      <c r="A33" s="41" t="s">
        <v>612</v>
      </c>
      <c r="B33" s="41" t="s">
        <v>680</v>
      </c>
      <c r="C33" s="41" t="s">
        <v>61</v>
      </c>
      <c r="D33" s="41" t="s">
        <v>739</v>
      </c>
      <c r="E33" s="48" t="s">
        <v>366</v>
      </c>
      <c r="F33" s="41" t="s">
        <v>747</v>
      </c>
      <c r="G33" s="47" t="s">
        <v>673</v>
      </c>
      <c r="H33" s="47" t="s">
        <v>260</v>
      </c>
    </row>
    <row r="34" spans="1:8" ht="28.8" x14ac:dyDescent="0.3">
      <c r="A34" s="41" t="s">
        <v>612</v>
      </c>
      <c r="B34" s="41" t="s">
        <v>680</v>
      </c>
      <c r="C34" s="41" t="s">
        <v>67</v>
      </c>
      <c r="D34" s="41" t="s">
        <v>68</v>
      </c>
      <c r="E34" s="48" t="s">
        <v>366</v>
      </c>
      <c r="F34" s="41" t="s">
        <v>741</v>
      </c>
      <c r="G34" s="47" t="s">
        <v>673</v>
      </c>
      <c r="H34" s="47" t="s">
        <v>260</v>
      </c>
    </row>
    <row r="35" spans="1:8" ht="28.8" x14ac:dyDescent="0.3">
      <c r="A35" s="41" t="s">
        <v>612</v>
      </c>
      <c r="B35" s="41" t="s">
        <v>680</v>
      </c>
      <c r="C35" s="41" t="s">
        <v>73</v>
      </c>
      <c r="D35" s="41" t="s">
        <v>74</v>
      </c>
      <c r="E35" s="48" t="s">
        <v>366</v>
      </c>
      <c r="F35" s="41" t="s">
        <v>742</v>
      </c>
      <c r="G35" s="47" t="s">
        <v>673</v>
      </c>
      <c r="H35" s="47" t="s">
        <v>260</v>
      </c>
    </row>
    <row r="36" spans="1:8" ht="28.8" x14ac:dyDescent="0.3">
      <c r="A36" s="41" t="s">
        <v>612</v>
      </c>
      <c r="B36" s="41" t="s">
        <v>680</v>
      </c>
      <c r="C36" s="41" t="s">
        <v>79</v>
      </c>
      <c r="D36" s="41" t="s">
        <v>80</v>
      </c>
      <c r="E36" s="48" t="s">
        <v>346</v>
      </c>
      <c r="F36" s="41" t="s">
        <v>743</v>
      </c>
      <c r="G36" s="47" t="s">
        <v>673</v>
      </c>
      <c r="H36" s="47" t="s">
        <v>260</v>
      </c>
    </row>
    <row r="37" spans="1:8" ht="28.8" x14ac:dyDescent="0.3">
      <c r="A37" s="41" t="s">
        <v>612</v>
      </c>
      <c r="B37" s="41" t="s">
        <v>682</v>
      </c>
      <c r="C37" s="41" t="s">
        <v>43</v>
      </c>
      <c r="D37" s="41" t="s">
        <v>44</v>
      </c>
      <c r="E37" s="48" t="s">
        <v>366</v>
      </c>
      <c r="F37" s="41" t="s">
        <v>749</v>
      </c>
      <c r="G37" s="47" t="s">
        <v>673</v>
      </c>
      <c r="H37" s="47" t="s">
        <v>260</v>
      </c>
    </row>
    <row r="38" spans="1:8" ht="28.8" x14ac:dyDescent="0.3">
      <c r="A38" s="41" t="s">
        <v>612</v>
      </c>
      <c r="B38" s="41" t="s">
        <v>682</v>
      </c>
      <c r="C38" s="41" t="s">
        <v>49</v>
      </c>
      <c r="D38" s="41" t="s">
        <v>50</v>
      </c>
      <c r="E38" s="48" t="s">
        <v>366</v>
      </c>
      <c r="F38" s="41" t="s">
        <v>750</v>
      </c>
      <c r="G38" s="47" t="s">
        <v>673</v>
      </c>
      <c r="H38" s="47" t="s">
        <v>260</v>
      </c>
    </row>
    <row r="39" spans="1:8" ht="28.8" x14ac:dyDescent="0.3">
      <c r="A39" s="41" t="s">
        <v>612</v>
      </c>
      <c r="B39" s="41" t="s">
        <v>682</v>
      </c>
      <c r="C39" s="41" t="s">
        <v>55</v>
      </c>
      <c r="D39" s="41" t="s">
        <v>56</v>
      </c>
      <c r="E39" s="48" t="s">
        <v>346</v>
      </c>
      <c r="F39" s="41" t="s">
        <v>745</v>
      </c>
      <c r="G39" s="47" t="s">
        <v>673</v>
      </c>
      <c r="H39" s="47" t="s">
        <v>260</v>
      </c>
    </row>
    <row r="40" spans="1:8" ht="28.8" x14ac:dyDescent="0.3">
      <c r="A40" s="41" t="s">
        <v>612</v>
      </c>
      <c r="B40" s="41" t="s">
        <v>682</v>
      </c>
      <c r="C40" s="41" t="s">
        <v>61</v>
      </c>
      <c r="D40" s="41" t="s">
        <v>739</v>
      </c>
      <c r="E40" s="48" t="s">
        <v>366</v>
      </c>
      <c r="F40" s="41" t="s">
        <v>747</v>
      </c>
      <c r="G40" s="47" t="s">
        <v>673</v>
      </c>
      <c r="H40" s="47" t="s">
        <v>260</v>
      </c>
    </row>
    <row r="41" spans="1:8" ht="28.8" x14ac:dyDescent="0.3">
      <c r="A41" s="41" t="s">
        <v>612</v>
      </c>
      <c r="B41" s="41" t="s">
        <v>682</v>
      </c>
      <c r="C41" s="41" t="s">
        <v>67</v>
      </c>
      <c r="D41" s="41" t="s">
        <v>68</v>
      </c>
      <c r="E41" s="48" t="s">
        <v>366</v>
      </c>
      <c r="F41" s="41" t="s">
        <v>741</v>
      </c>
      <c r="G41" s="47" t="s">
        <v>673</v>
      </c>
      <c r="H41" s="47" t="s">
        <v>260</v>
      </c>
    </row>
    <row r="42" spans="1:8" ht="28.8" x14ac:dyDescent="0.3">
      <c r="A42" s="41" t="s">
        <v>612</v>
      </c>
      <c r="B42" s="41" t="s">
        <v>682</v>
      </c>
      <c r="C42" s="41" t="s">
        <v>73</v>
      </c>
      <c r="D42" s="41" t="s">
        <v>74</v>
      </c>
      <c r="E42" s="48" t="s">
        <v>366</v>
      </c>
      <c r="F42" s="41" t="s">
        <v>742</v>
      </c>
      <c r="G42" s="47" t="s">
        <v>673</v>
      </c>
      <c r="H42" s="47" t="s">
        <v>260</v>
      </c>
    </row>
    <row r="43" spans="1:8" ht="28.8" x14ac:dyDescent="0.3">
      <c r="A43" s="41" t="s">
        <v>612</v>
      </c>
      <c r="B43" s="41" t="s">
        <v>682</v>
      </c>
      <c r="C43" s="41" t="s">
        <v>79</v>
      </c>
      <c r="D43" s="41" t="s">
        <v>80</v>
      </c>
      <c r="E43" s="48" t="s">
        <v>366</v>
      </c>
      <c r="F43" s="41" t="s">
        <v>751</v>
      </c>
      <c r="G43" s="47" t="s">
        <v>673</v>
      </c>
      <c r="H43" s="47" t="s">
        <v>260</v>
      </c>
    </row>
    <row r="44" spans="1:8" ht="28.8" x14ac:dyDescent="0.3">
      <c r="A44" s="41" t="s">
        <v>612</v>
      </c>
      <c r="B44" s="41" t="s">
        <v>684</v>
      </c>
      <c r="C44" s="41" t="s">
        <v>43</v>
      </c>
      <c r="D44" s="41" t="s">
        <v>44</v>
      </c>
      <c r="E44" s="48" t="s">
        <v>366</v>
      </c>
      <c r="F44" s="41" t="s">
        <v>749</v>
      </c>
      <c r="G44" s="47" t="s">
        <v>673</v>
      </c>
      <c r="H44" s="47" t="s">
        <v>260</v>
      </c>
    </row>
    <row r="45" spans="1:8" ht="28.8" x14ac:dyDescent="0.3">
      <c r="A45" s="41" t="s">
        <v>612</v>
      </c>
      <c r="B45" s="41" t="s">
        <v>684</v>
      </c>
      <c r="C45" s="41" t="s">
        <v>49</v>
      </c>
      <c r="D45" s="41" t="s">
        <v>50</v>
      </c>
      <c r="E45" s="48" t="s">
        <v>366</v>
      </c>
      <c r="F45" s="41" t="s">
        <v>750</v>
      </c>
      <c r="G45" s="47" t="s">
        <v>673</v>
      </c>
      <c r="H45" s="47" t="s">
        <v>260</v>
      </c>
    </row>
    <row r="46" spans="1:8" ht="28.8" x14ac:dyDescent="0.3">
      <c r="A46" s="41" t="s">
        <v>612</v>
      </c>
      <c r="B46" s="41" t="s">
        <v>684</v>
      </c>
      <c r="C46" s="41" t="s">
        <v>55</v>
      </c>
      <c r="D46" s="41" t="s">
        <v>56</v>
      </c>
      <c r="E46" s="48" t="s">
        <v>366</v>
      </c>
      <c r="F46" s="41" t="s">
        <v>752</v>
      </c>
      <c r="G46" s="47" t="s">
        <v>673</v>
      </c>
      <c r="H46" s="47" t="s">
        <v>260</v>
      </c>
    </row>
    <row r="47" spans="1:8" ht="28.8" x14ac:dyDescent="0.3">
      <c r="A47" s="41" t="s">
        <v>612</v>
      </c>
      <c r="B47" s="41" t="s">
        <v>684</v>
      </c>
      <c r="C47" s="41" t="s">
        <v>61</v>
      </c>
      <c r="D47" s="41" t="s">
        <v>739</v>
      </c>
      <c r="E47" s="48" t="s">
        <v>366</v>
      </c>
      <c r="F47" s="41" t="s">
        <v>747</v>
      </c>
      <c r="G47" s="47" t="s">
        <v>673</v>
      </c>
      <c r="H47" s="47" t="s">
        <v>260</v>
      </c>
    </row>
    <row r="48" spans="1:8" ht="28.8" x14ac:dyDescent="0.3">
      <c r="A48" s="41" t="s">
        <v>612</v>
      </c>
      <c r="B48" s="41" t="s">
        <v>684</v>
      </c>
      <c r="C48" s="41" t="s">
        <v>67</v>
      </c>
      <c r="D48" s="41" t="s">
        <v>68</v>
      </c>
      <c r="E48" s="48" t="s">
        <v>366</v>
      </c>
      <c r="F48" s="41" t="s">
        <v>741</v>
      </c>
      <c r="G48" s="47" t="s">
        <v>673</v>
      </c>
      <c r="H48" s="47" t="s">
        <v>260</v>
      </c>
    </row>
    <row r="49" spans="1:8" ht="28.8" x14ac:dyDescent="0.3">
      <c r="A49" s="41" t="s">
        <v>612</v>
      </c>
      <c r="B49" s="41" t="s">
        <v>684</v>
      </c>
      <c r="C49" s="41" t="s">
        <v>73</v>
      </c>
      <c r="D49" s="41" t="s">
        <v>74</v>
      </c>
      <c r="E49" s="48" t="s">
        <v>366</v>
      </c>
      <c r="F49" s="41" t="s">
        <v>742</v>
      </c>
      <c r="G49" s="47" t="s">
        <v>673</v>
      </c>
      <c r="H49" s="47" t="s">
        <v>260</v>
      </c>
    </row>
    <row r="50" spans="1:8" ht="28.8" x14ac:dyDescent="0.3">
      <c r="A50" s="41" t="s">
        <v>612</v>
      </c>
      <c r="B50" s="41" t="s">
        <v>684</v>
      </c>
      <c r="C50" s="41" t="s">
        <v>79</v>
      </c>
      <c r="D50" s="41" t="s">
        <v>80</v>
      </c>
      <c r="E50" s="48" t="s">
        <v>366</v>
      </c>
      <c r="F50" s="41" t="s">
        <v>751</v>
      </c>
      <c r="G50" s="47" t="s">
        <v>673</v>
      </c>
      <c r="H50" s="47" t="s">
        <v>260</v>
      </c>
    </row>
    <row r="51" spans="1:8" ht="28.8" x14ac:dyDescent="0.3">
      <c r="A51" s="41" t="s">
        <v>612</v>
      </c>
      <c r="B51" s="41" t="s">
        <v>686</v>
      </c>
      <c r="C51" s="41" t="s">
        <v>43</v>
      </c>
      <c r="D51" s="41" t="s">
        <v>44</v>
      </c>
      <c r="E51" s="48" t="s">
        <v>366</v>
      </c>
      <c r="F51" s="41" t="s">
        <v>749</v>
      </c>
      <c r="G51" s="47" t="s">
        <v>673</v>
      </c>
      <c r="H51" s="47" t="s">
        <v>260</v>
      </c>
    </row>
    <row r="52" spans="1:8" ht="28.8" x14ac:dyDescent="0.3">
      <c r="A52" s="41" t="s">
        <v>612</v>
      </c>
      <c r="B52" s="41" t="s">
        <v>686</v>
      </c>
      <c r="C52" s="41" t="s">
        <v>49</v>
      </c>
      <c r="D52" s="41" t="s">
        <v>50</v>
      </c>
      <c r="E52" s="48" t="s">
        <v>366</v>
      </c>
      <c r="F52" s="41" t="s">
        <v>750</v>
      </c>
      <c r="G52" s="47" t="s">
        <v>673</v>
      </c>
      <c r="H52" s="47" t="s">
        <v>260</v>
      </c>
    </row>
    <row r="53" spans="1:8" ht="28.8" x14ac:dyDescent="0.3">
      <c r="A53" s="41" t="s">
        <v>612</v>
      </c>
      <c r="B53" s="41" t="s">
        <v>686</v>
      </c>
      <c r="C53" s="41" t="s">
        <v>55</v>
      </c>
      <c r="D53" s="41" t="s">
        <v>56</v>
      </c>
      <c r="E53" s="48" t="s">
        <v>366</v>
      </c>
      <c r="F53" s="41" t="s">
        <v>752</v>
      </c>
      <c r="G53" s="47" t="s">
        <v>673</v>
      </c>
      <c r="H53" s="47" t="s">
        <v>260</v>
      </c>
    </row>
    <row r="54" spans="1:8" ht="28.8" x14ac:dyDescent="0.3">
      <c r="A54" s="41" t="s">
        <v>612</v>
      </c>
      <c r="B54" s="41" t="s">
        <v>686</v>
      </c>
      <c r="C54" s="41" t="s">
        <v>61</v>
      </c>
      <c r="D54" s="41" t="s">
        <v>739</v>
      </c>
      <c r="E54" s="48" t="s">
        <v>366</v>
      </c>
      <c r="F54" s="41" t="s">
        <v>747</v>
      </c>
      <c r="G54" s="47" t="s">
        <v>673</v>
      </c>
      <c r="H54" s="47" t="s">
        <v>260</v>
      </c>
    </row>
    <row r="55" spans="1:8" ht="28.8" x14ac:dyDescent="0.3">
      <c r="A55" s="41" t="s">
        <v>612</v>
      </c>
      <c r="B55" s="41" t="s">
        <v>686</v>
      </c>
      <c r="C55" s="41" t="s">
        <v>67</v>
      </c>
      <c r="D55" s="41" t="s">
        <v>68</v>
      </c>
      <c r="E55" s="48" t="s">
        <v>366</v>
      </c>
      <c r="F55" s="41" t="s">
        <v>741</v>
      </c>
      <c r="G55" s="47" t="s">
        <v>673</v>
      </c>
      <c r="H55" s="47" t="s">
        <v>260</v>
      </c>
    </row>
    <row r="56" spans="1:8" ht="28.8" x14ac:dyDescent="0.3">
      <c r="A56" s="41" t="s">
        <v>612</v>
      </c>
      <c r="B56" s="41" t="s">
        <v>686</v>
      </c>
      <c r="C56" s="41" t="s">
        <v>73</v>
      </c>
      <c r="D56" s="41" t="s">
        <v>74</v>
      </c>
      <c r="E56" s="48" t="s">
        <v>366</v>
      </c>
      <c r="F56" s="41" t="s">
        <v>742</v>
      </c>
      <c r="G56" s="47" t="s">
        <v>673</v>
      </c>
      <c r="H56" s="47" t="s">
        <v>260</v>
      </c>
    </row>
    <row r="57" spans="1:8" ht="28.8" x14ac:dyDescent="0.3">
      <c r="A57" s="41" t="s">
        <v>612</v>
      </c>
      <c r="B57" s="41" t="s">
        <v>686</v>
      </c>
      <c r="C57" s="41" t="s">
        <v>79</v>
      </c>
      <c r="D57" s="41" t="s">
        <v>80</v>
      </c>
      <c r="E57" s="48" t="s">
        <v>366</v>
      </c>
      <c r="F57" s="41" t="s">
        <v>751</v>
      </c>
      <c r="G57" s="47" t="s">
        <v>673</v>
      </c>
      <c r="H57" s="47" t="s">
        <v>260</v>
      </c>
    </row>
    <row r="58" spans="1:8" ht="28.8" x14ac:dyDescent="0.3">
      <c r="A58" s="41" t="s">
        <v>612</v>
      </c>
      <c r="B58" s="41" t="s">
        <v>688</v>
      </c>
      <c r="C58" s="41" t="s">
        <v>43</v>
      </c>
      <c r="D58" s="41" t="s">
        <v>44</v>
      </c>
      <c r="E58" s="48" t="s">
        <v>366</v>
      </c>
      <c r="F58" s="41" t="s">
        <v>749</v>
      </c>
      <c r="G58" s="47" t="s">
        <v>673</v>
      </c>
      <c r="H58" s="47" t="s">
        <v>260</v>
      </c>
    </row>
    <row r="59" spans="1:8" ht="28.8" x14ac:dyDescent="0.3">
      <c r="A59" s="41" t="s">
        <v>612</v>
      </c>
      <c r="B59" s="41" t="s">
        <v>688</v>
      </c>
      <c r="C59" s="41" t="s">
        <v>49</v>
      </c>
      <c r="D59" s="41" t="s">
        <v>50</v>
      </c>
      <c r="E59" s="48" t="s">
        <v>366</v>
      </c>
      <c r="F59" s="41" t="s">
        <v>750</v>
      </c>
      <c r="G59" s="47" t="s">
        <v>673</v>
      </c>
      <c r="H59" s="47" t="s">
        <v>260</v>
      </c>
    </row>
    <row r="60" spans="1:8" ht="28.8" x14ac:dyDescent="0.3">
      <c r="A60" s="41" t="s">
        <v>612</v>
      </c>
      <c r="B60" s="41" t="s">
        <v>688</v>
      </c>
      <c r="C60" s="41" t="s">
        <v>55</v>
      </c>
      <c r="D60" s="41" t="s">
        <v>56</v>
      </c>
      <c r="E60" s="48" t="s">
        <v>366</v>
      </c>
      <c r="F60" s="41" t="s">
        <v>752</v>
      </c>
      <c r="G60" s="47" t="s">
        <v>673</v>
      </c>
      <c r="H60" s="47" t="s">
        <v>260</v>
      </c>
    </row>
    <row r="61" spans="1:8" ht="28.8" x14ac:dyDescent="0.3">
      <c r="A61" s="41" t="s">
        <v>612</v>
      </c>
      <c r="B61" s="41" t="s">
        <v>688</v>
      </c>
      <c r="C61" s="41" t="s">
        <v>61</v>
      </c>
      <c r="D61" s="41" t="s">
        <v>739</v>
      </c>
      <c r="E61" s="48" t="s">
        <v>366</v>
      </c>
      <c r="F61" s="41" t="s">
        <v>747</v>
      </c>
      <c r="G61" s="47" t="s">
        <v>673</v>
      </c>
      <c r="H61" s="47" t="s">
        <v>260</v>
      </c>
    </row>
    <row r="62" spans="1:8" ht="28.8" x14ac:dyDescent="0.3">
      <c r="A62" s="41" t="s">
        <v>612</v>
      </c>
      <c r="B62" s="41" t="s">
        <v>688</v>
      </c>
      <c r="C62" s="41" t="s">
        <v>67</v>
      </c>
      <c r="D62" s="41" t="s">
        <v>68</v>
      </c>
      <c r="E62" s="48" t="s">
        <v>366</v>
      </c>
      <c r="F62" s="41" t="s">
        <v>741</v>
      </c>
      <c r="G62" s="47" t="s">
        <v>673</v>
      </c>
      <c r="H62" s="47" t="s">
        <v>260</v>
      </c>
    </row>
    <row r="63" spans="1:8" ht="28.8" x14ac:dyDescent="0.3">
      <c r="A63" s="41" t="s">
        <v>612</v>
      </c>
      <c r="B63" s="41" t="s">
        <v>688</v>
      </c>
      <c r="C63" s="41" t="s">
        <v>73</v>
      </c>
      <c r="D63" s="41" t="s">
        <v>74</v>
      </c>
      <c r="E63" s="48" t="s">
        <v>366</v>
      </c>
      <c r="F63" s="41" t="s">
        <v>742</v>
      </c>
      <c r="G63" s="47" t="s">
        <v>673</v>
      </c>
      <c r="H63" s="47" t="s">
        <v>260</v>
      </c>
    </row>
    <row r="64" spans="1:8" ht="28.8" x14ac:dyDescent="0.3">
      <c r="A64" s="41" t="s">
        <v>612</v>
      </c>
      <c r="B64" s="41" t="s">
        <v>688</v>
      </c>
      <c r="C64" s="41" t="s">
        <v>79</v>
      </c>
      <c r="D64" s="41" t="s">
        <v>80</v>
      </c>
      <c r="E64" s="48" t="s">
        <v>366</v>
      </c>
      <c r="F64" s="41" t="s">
        <v>751</v>
      </c>
      <c r="G64" s="47" t="s">
        <v>673</v>
      </c>
      <c r="H64" s="47" t="s">
        <v>260</v>
      </c>
    </row>
    <row r="65" spans="1:8" ht="43.2" x14ac:dyDescent="0.3">
      <c r="A65" s="41" t="s">
        <v>623</v>
      </c>
      <c r="B65" s="41" t="s">
        <v>690</v>
      </c>
      <c r="C65" s="41" t="s">
        <v>43</v>
      </c>
      <c r="D65" s="41" t="s">
        <v>44</v>
      </c>
      <c r="E65" s="48" t="s">
        <v>349</v>
      </c>
      <c r="F65" s="41" t="s">
        <v>744</v>
      </c>
      <c r="G65" s="47" t="s">
        <v>692</v>
      </c>
      <c r="H65" s="47" t="s">
        <v>633</v>
      </c>
    </row>
    <row r="66" spans="1:8" ht="43.2" x14ac:dyDescent="0.3">
      <c r="A66" s="41" t="s">
        <v>623</v>
      </c>
      <c r="B66" s="41" t="s">
        <v>690</v>
      </c>
      <c r="C66" s="41" t="s">
        <v>49</v>
      </c>
      <c r="D66" s="41" t="s">
        <v>50</v>
      </c>
      <c r="E66" s="48" t="s">
        <v>349</v>
      </c>
      <c r="F66" s="41" t="s">
        <v>746</v>
      </c>
      <c r="G66" s="47" t="s">
        <v>692</v>
      </c>
      <c r="H66" s="47" t="s">
        <v>633</v>
      </c>
    </row>
    <row r="67" spans="1:8" ht="43.2" x14ac:dyDescent="0.3">
      <c r="A67" s="41" t="s">
        <v>623</v>
      </c>
      <c r="B67" s="41" t="s">
        <v>690</v>
      </c>
      <c r="C67" s="41" t="s">
        <v>55</v>
      </c>
      <c r="D67" s="41" t="s">
        <v>56</v>
      </c>
      <c r="E67" s="48" t="s">
        <v>349</v>
      </c>
      <c r="F67" s="41" t="s">
        <v>738</v>
      </c>
      <c r="G67" s="47" t="s">
        <v>692</v>
      </c>
      <c r="H67" s="47" t="s">
        <v>633</v>
      </c>
    </row>
    <row r="68" spans="1:8" ht="43.2" x14ac:dyDescent="0.3">
      <c r="A68" s="41" t="s">
        <v>623</v>
      </c>
      <c r="B68" s="41" t="s">
        <v>690</v>
      </c>
      <c r="C68" s="41" t="s">
        <v>61</v>
      </c>
      <c r="D68" s="41" t="s">
        <v>739</v>
      </c>
      <c r="E68" s="48" t="s">
        <v>349</v>
      </c>
      <c r="F68" s="41" t="s">
        <v>753</v>
      </c>
      <c r="G68" s="47" t="s">
        <v>692</v>
      </c>
      <c r="H68" s="47" t="s">
        <v>633</v>
      </c>
    </row>
    <row r="69" spans="1:8" ht="43.2" x14ac:dyDescent="0.3">
      <c r="A69" s="41" t="s">
        <v>623</v>
      </c>
      <c r="B69" s="41" t="s">
        <v>690</v>
      </c>
      <c r="C69" s="41" t="s">
        <v>67</v>
      </c>
      <c r="D69" s="41" t="s">
        <v>68</v>
      </c>
      <c r="E69" s="48" t="s">
        <v>349</v>
      </c>
      <c r="F69" s="41" t="s">
        <v>754</v>
      </c>
      <c r="G69" s="47" t="s">
        <v>692</v>
      </c>
      <c r="H69" s="47" t="s">
        <v>633</v>
      </c>
    </row>
    <row r="70" spans="1:8" ht="43.2" x14ac:dyDescent="0.3">
      <c r="A70" s="41" t="s">
        <v>623</v>
      </c>
      <c r="B70" s="41" t="s">
        <v>690</v>
      </c>
      <c r="C70" s="41" t="s">
        <v>73</v>
      </c>
      <c r="D70" s="41" t="s">
        <v>74</v>
      </c>
      <c r="E70" s="48" t="s">
        <v>366</v>
      </c>
      <c r="F70" s="41" t="s">
        <v>742</v>
      </c>
      <c r="G70" s="47" t="s">
        <v>692</v>
      </c>
      <c r="H70" s="47" t="s">
        <v>633</v>
      </c>
    </row>
    <row r="71" spans="1:8" ht="43.2" x14ac:dyDescent="0.3">
      <c r="A71" s="41" t="s">
        <v>623</v>
      </c>
      <c r="B71" s="41" t="s">
        <v>690</v>
      </c>
      <c r="C71" s="41" t="s">
        <v>79</v>
      </c>
      <c r="D71" s="41" t="s">
        <v>80</v>
      </c>
      <c r="E71" s="48" t="s">
        <v>349</v>
      </c>
      <c r="F71" s="41" t="s">
        <v>755</v>
      </c>
      <c r="G71" s="47" t="s">
        <v>692</v>
      </c>
      <c r="H71" s="47" t="s">
        <v>633</v>
      </c>
    </row>
    <row r="72" spans="1:8" ht="43.2" x14ac:dyDescent="0.3">
      <c r="A72" s="41" t="s">
        <v>623</v>
      </c>
      <c r="B72" s="41" t="s">
        <v>693</v>
      </c>
      <c r="C72" s="41" t="s">
        <v>43</v>
      </c>
      <c r="D72" s="41" t="s">
        <v>44</v>
      </c>
      <c r="E72" s="48" t="s">
        <v>349</v>
      </c>
      <c r="F72" s="41" t="s">
        <v>744</v>
      </c>
      <c r="G72" s="47" t="s">
        <v>692</v>
      </c>
      <c r="H72" s="47" t="s">
        <v>633</v>
      </c>
    </row>
    <row r="73" spans="1:8" ht="43.2" x14ac:dyDescent="0.3">
      <c r="A73" s="41" t="s">
        <v>623</v>
      </c>
      <c r="B73" s="41" t="s">
        <v>693</v>
      </c>
      <c r="C73" s="41" t="s">
        <v>49</v>
      </c>
      <c r="D73" s="41" t="s">
        <v>50</v>
      </c>
      <c r="E73" s="48" t="s">
        <v>349</v>
      </c>
      <c r="F73" s="41" t="s">
        <v>746</v>
      </c>
      <c r="G73" s="47" t="s">
        <v>692</v>
      </c>
      <c r="H73" s="47" t="s">
        <v>633</v>
      </c>
    </row>
    <row r="74" spans="1:8" ht="43.2" x14ac:dyDescent="0.3">
      <c r="A74" s="41" t="s">
        <v>623</v>
      </c>
      <c r="B74" s="41" t="s">
        <v>693</v>
      </c>
      <c r="C74" s="41" t="s">
        <v>55</v>
      </c>
      <c r="D74" s="41" t="s">
        <v>56</v>
      </c>
      <c r="E74" s="48" t="s">
        <v>349</v>
      </c>
      <c r="F74" s="41" t="s">
        <v>738</v>
      </c>
      <c r="G74" s="47" t="s">
        <v>692</v>
      </c>
      <c r="H74" s="47" t="s">
        <v>633</v>
      </c>
    </row>
    <row r="75" spans="1:8" ht="43.2" x14ac:dyDescent="0.3">
      <c r="A75" s="41" t="s">
        <v>623</v>
      </c>
      <c r="B75" s="41" t="s">
        <v>693</v>
      </c>
      <c r="C75" s="41" t="s">
        <v>61</v>
      </c>
      <c r="D75" s="41" t="s">
        <v>739</v>
      </c>
      <c r="E75" s="48" t="s">
        <v>346</v>
      </c>
      <c r="F75" s="41" t="s">
        <v>740</v>
      </c>
      <c r="G75" s="47" t="s">
        <v>692</v>
      </c>
      <c r="H75" s="47" t="s">
        <v>633</v>
      </c>
    </row>
    <row r="76" spans="1:8" ht="43.2" x14ac:dyDescent="0.3">
      <c r="A76" s="41" t="s">
        <v>623</v>
      </c>
      <c r="B76" s="41" t="s">
        <v>693</v>
      </c>
      <c r="C76" s="41" t="s">
        <v>67</v>
      </c>
      <c r="D76" s="41" t="s">
        <v>68</v>
      </c>
      <c r="E76" s="48" t="s">
        <v>346</v>
      </c>
      <c r="F76" s="41" t="s">
        <v>748</v>
      </c>
      <c r="G76" s="47" t="s">
        <v>692</v>
      </c>
      <c r="H76" s="47" t="s">
        <v>633</v>
      </c>
    </row>
    <row r="77" spans="1:8" ht="43.2" x14ac:dyDescent="0.3">
      <c r="A77" s="41" t="s">
        <v>623</v>
      </c>
      <c r="B77" s="41" t="s">
        <v>693</v>
      </c>
      <c r="C77" s="41" t="s">
        <v>73</v>
      </c>
      <c r="D77" s="41" t="s">
        <v>74</v>
      </c>
      <c r="E77" s="48" t="s">
        <v>366</v>
      </c>
      <c r="F77" s="41" t="s">
        <v>742</v>
      </c>
      <c r="G77" s="47" t="s">
        <v>692</v>
      </c>
      <c r="H77" s="47" t="s">
        <v>633</v>
      </c>
    </row>
    <row r="78" spans="1:8" ht="43.2" x14ac:dyDescent="0.3">
      <c r="A78" s="41" t="s">
        <v>623</v>
      </c>
      <c r="B78" s="41" t="s">
        <v>693</v>
      </c>
      <c r="C78" s="41" t="s">
        <v>79</v>
      </c>
      <c r="D78" s="41" t="s">
        <v>80</v>
      </c>
      <c r="E78" s="48" t="s">
        <v>349</v>
      </c>
      <c r="F78" s="41" t="s">
        <v>755</v>
      </c>
      <c r="G78" s="47" t="s">
        <v>692</v>
      </c>
      <c r="H78" s="47" t="s">
        <v>633</v>
      </c>
    </row>
    <row r="79" spans="1:8" ht="43.2" x14ac:dyDescent="0.3">
      <c r="A79" s="41" t="s">
        <v>623</v>
      </c>
      <c r="B79" s="41" t="s">
        <v>695</v>
      </c>
      <c r="C79" s="41" t="s">
        <v>43</v>
      </c>
      <c r="D79" s="41" t="s">
        <v>44</v>
      </c>
      <c r="E79" s="48" t="s">
        <v>346</v>
      </c>
      <c r="F79" s="41" t="s">
        <v>736</v>
      </c>
      <c r="G79" s="47" t="s">
        <v>692</v>
      </c>
      <c r="H79" s="47" t="s">
        <v>633</v>
      </c>
    </row>
    <row r="80" spans="1:8" ht="43.2" x14ac:dyDescent="0.3">
      <c r="A80" s="41" t="s">
        <v>623</v>
      </c>
      <c r="B80" s="41" t="s">
        <v>695</v>
      </c>
      <c r="C80" s="41" t="s">
        <v>49</v>
      </c>
      <c r="D80" s="41" t="s">
        <v>50</v>
      </c>
      <c r="E80" s="48" t="s">
        <v>349</v>
      </c>
      <c r="F80" s="41" t="s">
        <v>746</v>
      </c>
      <c r="G80" s="47" t="s">
        <v>692</v>
      </c>
      <c r="H80" s="47" t="s">
        <v>633</v>
      </c>
    </row>
    <row r="81" spans="1:8" ht="43.2" x14ac:dyDescent="0.3">
      <c r="A81" s="41" t="s">
        <v>623</v>
      </c>
      <c r="B81" s="41" t="s">
        <v>695</v>
      </c>
      <c r="C81" s="41" t="s">
        <v>55</v>
      </c>
      <c r="D81" s="41" t="s">
        <v>56</v>
      </c>
      <c r="E81" s="48" t="s">
        <v>349</v>
      </c>
      <c r="F81" s="41" t="s">
        <v>738</v>
      </c>
      <c r="G81" s="47" t="s">
        <v>692</v>
      </c>
      <c r="H81" s="47" t="s">
        <v>633</v>
      </c>
    </row>
    <row r="82" spans="1:8" ht="43.2" x14ac:dyDescent="0.3">
      <c r="A82" s="41" t="s">
        <v>623</v>
      </c>
      <c r="B82" s="41" t="s">
        <v>695</v>
      </c>
      <c r="C82" s="41" t="s">
        <v>61</v>
      </c>
      <c r="D82" s="41" t="s">
        <v>739</v>
      </c>
      <c r="E82" s="48" t="s">
        <v>346</v>
      </c>
      <c r="F82" s="41" t="s">
        <v>740</v>
      </c>
      <c r="G82" s="47" t="s">
        <v>692</v>
      </c>
      <c r="H82" s="47" t="s">
        <v>633</v>
      </c>
    </row>
    <row r="83" spans="1:8" ht="43.2" x14ac:dyDescent="0.3">
      <c r="A83" s="41" t="s">
        <v>623</v>
      </c>
      <c r="B83" s="41" t="s">
        <v>695</v>
      </c>
      <c r="C83" s="41" t="s">
        <v>67</v>
      </c>
      <c r="D83" s="41" t="s">
        <v>68</v>
      </c>
      <c r="E83" s="48" t="s">
        <v>346</v>
      </c>
      <c r="F83" s="41" t="s">
        <v>748</v>
      </c>
      <c r="G83" s="47" t="s">
        <v>692</v>
      </c>
      <c r="H83" s="47" t="s">
        <v>633</v>
      </c>
    </row>
    <row r="84" spans="1:8" ht="43.2" x14ac:dyDescent="0.3">
      <c r="A84" s="41" t="s">
        <v>623</v>
      </c>
      <c r="B84" s="41" t="s">
        <v>695</v>
      </c>
      <c r="C84" s="41" t="s">
        <v>73</v>
      </c>
      <c r="D84" s="41" t="s">
        <v>74</v>
      </c>
      <c r="E84" s="48" t="s">
        <v>366</v>
      </c>
      <c r="F84" s="41" t="s">
        <v>742</v>
      </c>
      <c r="G84" s="47" t="s">
        <v>692</v>
      </c>
      <c r="H84" s="47" t="s">
        <v>633</v>
      </c>
    </row>
    <row r="85" spans="1:8" ht="43.2" x14ac:dyDescent="0.3">
      <c r="A85" s="41" t="s">
        <v>623</v>
      </c>
      <c r="B85" s="41" t="s">
        <v>695</v>
      </c>
      <c r="C85" s="41" t="s">
        <v>79</v>
      </c>
      <c r="D85" s="41" t="s">
        <v>80</v>
      </c>
      <c r="E85" s="48" t="s">
        <v>346</v>
      </c>
      <c r="F85" s="41" t="s">
        <v>743</v>
      </c>
      <c r="G85" s="47" t="s">
        <v>692</v>
      </c>
      <c r="H85" s="47" t="s">
        <v>633</v>
      </c>
    </row>
    <row r="86" spans="1:8" ht="43.2" x14ac:dyDescent="0.3">
      <c r="A86" s="41" t="s">
        <v>623</v>
      </c>
      <c r="B86" s="41" t="s">
        <v>697</v>
      </c>
      <c r="C86" s="41" t="s">
        <v>43</v>
      </c>
      <c r="D86" s="41" t="s">
        <v>44</v>
      </c>
      <c r="E86" s="48" t="s">
        <v>346</v>
      </c>
      <c r="F86" s="41" t="s">
        <v>736</v>
      </c>
      <c r="G86" s="47" t="s">
        <v>692</v>
      </c>
      <c r="H86" s="47" t="s">
        <v>633</v>
      </c>
    </row>
    <row r="87" spans="1:8" ht="43.2" x14ac:dyDescent="0.3">
      <c r="A87" s="41" t="s">
        <v>623</v>
      </c>
      <c r="B87" s="41" t="s">
        <v>697</v>
      </c>
      <c r="C87" s="41" t="s">
        <v>49</v>
      </c>
      <c r="D87" s="41" t="s">
        <v>50</v>
      </c>
      <c r="E87" s="48" t="s">
        <v>346</v>
      </c>
      <c r="F87" s="41" t="s">
        <v>737</v>
      </c>
      <c r="G87" s="47" t="s">
        <v>692</v>
      </c>
      <c r="H87" s="47" t="s">
        <v>633</v>
      </c>
    </row>
    <row r="88" spans="1:8" ht="43.2" x14ac:dyDescent="0.3">
      <c r="A88" s="41" t="s">
        <v>623</v>
      </c>
      <c r="B88" s="41" t="s">
        <v>697</v>
      </c>
      <c r="C88" s="41" t="s">
        <v>55</v>
      </c>
      <c r="D88" s="41" t="s">
        <v>56</v>
      </c>
      <c r="E88" s="48" t="s">
        <v>349</v>
      </c>
      <c r="F88" s="41" t="s">
        <v>738</v>
      </c>
      <c r="G88" s="47" t="s">
        <v>692</v>
      </c>
      <c r="H88" s="47" t="s">
        <v>633</v>
      </c>
    </row>
    <row r="89" spans="1:8" ht="43.2" x14ac:dyDescent="0.3">
      <c r="A89" s="41" t="s">
        <v>623</v>
      </c>
      <c r="B89" s="41" t="s">
        <v>697</v>
      </c>
      <c r="C89" s="41" t="s">
        <v>61</v>
      </c>
      <c r="D89" s="41" t="s">
        <v>739</v>
      </c>
      <c r="E89" s="48" t="s">
        <v>346</v>
      </c>
      <c r="F89" s="41" t="s">
        <v>740</v>
      </c>
      <c r="G89" s="47" t="s">
        <v>692</v>
      </c>
      <c r="H89" s="47" t="s">
        <v>633</v>
      </c>
    </row>
    <row r="90" spans="1:8" ht="43.2" x14ac:dyDescent="0.3">
      <c r="A90" s="41" t="s">
        <v>623</v>
      </c>
      <c r="B90" s="41" t="s">
        <v>697</v>
      </c>
      <c r="C90" s="41" t="s">
        <v>67</v>
      </c>
      <c r="D90" s="41" t="s">
        <v>68</v>
      </c>
      <c r="E90" s="48" t="s">
        <v>346</v>
      </c>
      <c r="F90" s="41" t="s">
        <v>748</v>
      </c>
      <c r="G90" s="47" t="s">
        <v>692</v>
      </c>
      <c r="H90" s="47" t="s">
        <v>633</v>
      </c>
    </row>
    <row r="91" spans="1:8" ht="43.2" x14ac:dyDescent="0.3">
      <c r="A91" s="41" t="s">
        <v>623</v>
      </c>
      <c r="B91" s="41" t="s">
        <v>697</v>
      </c>
      <c r="C91" s="41" t="s">
        <v>73</v>
      </c>
      <c r="D91" s="41" t="s">
        <v>74</v>
      </c>
      <c r="E91" s="48" t="s">
        <v>366</v>
      </c>
      <c r="F91" s="41" t="s">
        <v>742</v>
      </c>
      <c r="G91" s="47" t="s">
        <v>692</v>
      </c>
      <c r="H91" s="47" t="s">
        <v>633</v>
      </c>
    </row>
    <row r="92" spans="1:8" ht="43.2" x14ac:dyDescent="0.3">
      <c r="A92" s="41" t="s">
        <v>623</v>
      </c>
      <c r="B92" s="41" t="s">
        <v>697</v>
      </c>
      <c r="C92" s="41" t="s">
        <v>79</v>
      </c>
      <c r="D92" s="41" t="s">
        <v>80</v>
      </c>
      <c r="E92" s="48" t="s">
        <v>346</v>
      </c>
      <c r="F92" s="41" t="s">
        <v>743</v>
      </c>
      <c r="G92" s="47" t="s">
        <v>692</v>
      </c>
      <c r="H92" s="47" t="s">
        <v>633</v>
      </c>
    </row>
    <row r="93" spans="1:8" ht="43.2" x14ac:dyDescent="0.3">
      <c r="A93" s="41" t="s">
        <v>623</v>
      </c>
      <c r="B93" s="41" t="s">
        <v>699</v>
      </c>
      <c r="C93" s="41" t="s">
        <v>43</v>
      </c>
      <c r="D93" s="41" t="s">
        <v>44</v>
      </c>
      <c r="E93" s="48" t="s">
        <v>346</v>
      </c>
      <c r="F93" s="41" t="s">
        <v>736</v>
      </c>
      <c r="G93" s="47" t="s">
        <v>692</v>
      </c>
      <c r="H93" s="47" t="s">
        <v>633</v>
      </c>
    </row>
    <row r="94" spans="1:8" ht="43.2" x14ac:dyDescent="0.3">
      <c r="A94" s="41" t="s">
        <v>623</v>
      </c>
      <c r="B94" s="41" t="s">
        <v>699</v>
      </c>
      <c r="C94" s="41" t="s">
        <v>49</v>
      </c>
      <c r="D94" s="41" t="s">
        <v>50</v>
      </c>
      <c r="E94" s="48" t="s">
        <v>346</v>
      </c>
      <c r="F94" s="41" t="s">
        <v>737</v>
      </c>
      <c r="G94" s="47" t="s">
        <v>692</v>
      </c>
      <c r="H94" s="47" t="s">
        <v>633</v>
      </c>
    </row>
    <row r="95" spans="1:8" ht="43.2" x14ac:dyDescent="0.3">
      <c r="A95" s="41" t="s">
        <v>623</v>
      </c>
      <c r="B95" s="41" t="s">
        <v>699</v>
      </c>
      <c r="C95" s="41" t="s">
        <v>55</v>
      </c>
      <c r="D95" s="41" t="s">
        <v>56</v>
      </c>
      <c r="E95" s="48" t="s">
        <v>349</v>
      </c>
      <c r="F95" s="41" t="s">
        <v>738</v>
      </c>
      <c r="G95" s="47" t="s">
        <v>692</v>
      </c>
      <c r="H95" s="47" t="s">
        <v>633</v>
      </c>
    </row>
    <row r="96" spans="1:8" ht="43.2" x14ac:dyDescent="0.3">
      <c r="A96" s="41" t="s">
        <v>623</v>
      </c>
      <c r="B96" s="41" t="s">
        <v>699</v>
      </c>
      <c r="C96" s="41" t="s">
        <v>61</v>
      </c>
      <c r="D96" s="41" t="s">
        <v>739</v>
      </c>
      <c r="E96" s="48" t="s">
        <v>346</v>
      </c>
      <c r="F96" s="41" t="s">
        <v>740</v>
      </c>
      <c r="G96" s="47" t="s">
        <v>692</v>
      </c>
      <c r="H96" s="47" t="s">
        <v>633</v>
      </c>
    </row>
    <row r="97" spans="1:8" ht="43.2" x14ac:dyDescent="0.3">
      <c r="A97" s="41" t="s">
        <v>623</v>
      </c>
      <c r="B97" s="41" t="s">
        <v>699</v>
      </c>
      <c r="C97" s="41" t="s">
        <v>67</v>
      </c>
      <c r="D97" s="41" t="s">
        <v>68</v>
      </c>
      <c r="E97" s="48" t="s">
        <v>346</v>
      </c>
      <c r="F97" s="41" t="s">
        <v>748</v>
      </c>
      <c r="G97" s="47" t="s">
        <v>692</v>
      </c>
      <c r="H97" s="47" t="s">
        <v>633</v>
      </c>
    </row>
    <row r="98" spans="1:8" ht="43.2" x14ac:dyDescent="0.3">
      <c r="A98" s="41" t="s">
        <v>623</v>
      </c>
      <c r="B98" s="41" t="s">
        <v>699</v>
      </c>
      <c r="C98" s="41" t="s">
        <v>73</v>
      </c>
      <c r="D98" s="41" t="s">
        <v>74</v>
      </c>
      <c r="E98" s="48" t="s">
        <v>366</v>
      </c>
      <c r="F98" s="41" t="s">
        <v>742</v>
      </c>
      <c r="G98" s="47" t="s">
        <v>692</v>
      </c>
      <c r="H98" s="47" t="s">
        <v>633</v>
      </c>
    </row>
    <row r="99" spans="1:8" ht="43.2" x14ac:dyDescent="0.3">
      <c r="A99" s="41" t="s">
        <v>623</v>
      </c>
      <c r="B99" s="41" t="s">
        <v>699</v>
      </c>
      <c r="C99" s="41" t="s">
        <v>79</v>
      </c>
      <c r="D99" s="41" t="s">
        <v>80</v>
      </c>
      <c r="E99" s="48" t="s">
        <v>346</v>
      </c>
      <c r="F99" s="41" t="s">
        <v>743</v>
      </c>
      <c r="G99" s="47" t="s">
        <v>692</v>
      </c>
      <c r="H99" s="47" t="s">
        <v>633</v>
      </c>
    </row>
    <row r="100" spans="1:8" ht="43.2" x14ac:dyDescent="0.3">
      <c r="A100" s="41" t="s">
        <v>623</v>
      </c>
      <c r="B100" s="41" t="s">
        <v>701</v>
      </c>
      <c r="C100" s="41" t="s">
        <v>43</v>
      </c>
      <c r="D100" s="41" t="s">
        <v>44</v>
      </c>
      <c r="E100" s="48" t="s">
        <v>366</v>
      </c>
      <c r="F100" s="41" t="s">
        <v>749</v>
      </c>
      <c r="G100" s="47" t="s">
        <v>692</v>
      </c>
      <c r="H100" s="47" t="s">
        <v>633</v>
      </c>
    </row>
    <row r="101" spans="1:8" ht="43.2" x14ac:dyDescent="0.3">
      <c r="A101" s="41" t="s">
        <v>623</v>
      </c>
      <c r="B101" s="41" t="s">
        <v>701</v>
      </c>
      <c r="C101" s="41" t="s">
        <v>49</v>
      </c>
      <c r="D101" s="41" t="s">
        <v>50</v>
      </c>
      <c r="E101" s="48" t="s">
        <v>366</v>
      </c>
      <c r="F101" s="41" t="s">
        <v>750</v>
      </c>
      <c r="G101" s="47" t="s">
        <v>692</v>
      </c>
      <c r="H101" s="47" t="s">
        <v>633</v>
      </c>
    </row>
    <row r="102" spans="1:8" ht="43.2" x14ac:dyDescent="0.3">
      <c r="A102" s="41" t="s">
        <v>623</v>
      </c>
      <c r="B102" s="41" t="s">
        <v>701</v>
      </c>
      <c r="C102" s="41" t="s">
        <v>55</v>
      </c>
      <c r="D102" s="41" t="s">
        <v>56</v>
      </c>
      <c r="E102" s="48" t="s">
        <v>346</v>
      </c>
      <c r="F102" s="41" t="s">
        <v>745</v>
      </c>
      <c r="G102" s="47" t="s">
        <v>692</v>
      </c>
      <c r="H102" s="47" t="s">
        <v>633</v>
      </c>
    </row>
    <row r="103" spans="1:8" ht="43.2" x14ac:dyDescent="0.3">
      <c r="A103" s="41" t="s">
        <v>623</v>
      </c>
      <c r="B103" s="41" t="s">
        <v>701</v>
      </c>
      <c r="C103" s="41" t="s">
        <v>61</v>
      </c>
      <c r="D103" s="41" t="s">
        <v>739</v>
      </c>
      <c r="E103" s="48" t="s">
        <v>346</v>
      </c>
      <c r="F103" s="41" t="s">
        <v>740</v>
      </c>
      <c r="G103" s="47" t="s">
        <v>692</v>
      </c>
      <c r="H103" s="47" t="s">
        <v>633</v>
      </c>
    </row>
    <row r="104" spans="1:8" ht="43.2" x14ac:dyDescent="0.3">
      <c r="A104" s="41" t="s">
        <v>623</v>
      </c>
      <c r="B104" s="41" t="s">
        <v>701</v>
      </c>
      <c r="C104" s="41" t="s">
        <v>67</v>
      </c>
      <c r="D104" s="41" t="s">
        <v>68</v>
      </c>
      <c r="E104" s="48" t="s">
        <v>346</v>
      </c>
      <c r="F104" s="41" t="s">
        <v>748</v>
      </c>
      <c r="G104" s="47" t="s">
        <v>692</v>
      </c>
      <c r="H104" s="47" t="s">
        <v>633</v>
      </c>
    </row>
    <row r="105" spans="1:8" ht="43.2" x14ac:dyDescent="0.3">
      <c r="A105" s="41" t="s">
        <v>623</v>
      </c>
      <c r="B105" s="41" t="s">
        <v>701</v>
      </c>
      <c r="C105" s="41" t="s">
        <v>73</v>
      </c>
      <c r="D105" s="41" t="s">
        <v>74</v>
      </c>
      <c r="E105" s="48" t="s">
        <v>366</v>
      </c>
      <c r="F105" s="41" t="s">
        <v>742</v>
      </c>
      <c r="G105" s="47" t="s">
        <v>692</v>
      </c>
      <c r="H105" s="47" t="s">
        <v>633</v>
      </c>
    </row>
    <row r="106" spans="1:8" ht="43.2" x14ac:dyDescent="0.3">
      <c r="A106" s="41" t="s">
        <v>623</v>
      </c>
      <c r="B106" s="41" t="s">
        <v>701</v>
      </c>
      <c r="C106" s="41" t="s">
        <v>79</v>
      </c>
      <c r="D106" s="41" t="s">
        <v>80</v>
      </c>
      <c r="E106" s="48" t="s">
        <v>346</v>
      </c>
      <c r="F106" s="41" t="s">
        <v>743</v>
      </c>
      <c r="G106" s="47" t="s">
        <v>692</v>
      </c>
      <c r="H106" s="47" t="s">
        <v>633</v>
      </c>
    </row>
    <row r="107" spans="1:8" ht="43.2" x14ac:dyDescent="0.3">
      <c r="A107" s="41" t="s">
        <v>634</v>
      </c>
      <c r="B107" s="41" t="s">
        <v>703</v>
      </c>
      <c r="C107" s="41" t="s">
        <v>43</v>
      </c>
      <c r="D107" s="41" t="s">
        <v>44</v>
      </c>
      <c r="E107" s="48" t="s">
        <v>349</v>
      </c>
      <c r="F107" s="41" t="s">
        <v>744</v>
      </c>
      <c r="G107" s="47" t="s">
        <v>705</v>
      </c>
      <c r="H107" s="47" t="s">
        <v>644</v>
      </c>
    </row>
    <row r="108" spans="1:8" ht="43.2" x14ac:dyDescent="0.3">
      <c r="A108" s="41" t="s">
        <v>634</v>
      </c>
      <c r="B108" s="41" t="s">
        <v>703</v>
      </c>
      <c r="C108" s="41" t="s">
        <v>49</v>
      </c>
      <c r="D108" s="41" t="s">
        <v>50</v>
      </c>
      <c r="E108" s="48" t="s">
        <v>349</v>
      </c>
      <c r="F108" s="41" t="s">
        <v>746</v>
      </c>
      <c r="G108" s="47" t="s">
        <v>705</v>
      </c>
      <c r="H108" s="47" t="s">
        <v>644</v>
      </c>
    </row>
    <row r="109" spans="1:8" ht="43.2" x14ac:dyDescent="0.3">
      <c r="A109" s="41" t="s">
        <v>634</v>
      </c>
      <c r="B109" s="41" t="s">
        <v>703</v>
      </c>
      <c r="C109" s="41" t="s">
        <v>55</v>
      </c>
      <c r="D109" s="41" t="s">
        <v>56</v>
      </c>
      <c r="E109" s="48" t="s">
        <v>349</v>
      </c>
      <c r="F109" s="41" t="s">
        <v>738</v>
      </c>
      <c r="G109" s="47" t="s">
        <v>705</v>
      </c>
      <c r="H109" s="47" t="s">
        <v>644</v>
      </c>
    </row>
    <row r="110" spans="1:8" ht="43.2" x14ac:dyDescent="0.3">
      <c r="A110" s="41" t="s">
        <v>634</v>
      </c>
      <c r="B110" s="41" t="s">
        <v>703</v>
      </c>
      <c r="C110" s="41" t="s">
        <v>61</v>
      </c>
      <c r="D110" s="41" t="s">
        <v>739</v>
      </c>
      <c r="E110" s="48" t="s">
        <v>346</v>
      </c>
      <c r="F110" s="41" t="s">
        <v>740</v>
      </c>
      <c r="G110" s="47" t="s">
        <v>705</v>
      </c>
      <c r="H110" s="47" t="s">
        <v>644</v>
      </c>
    </row>
    <row r="111" spans="1:8" ht="43.2" x14ac:dyDescent="0.3">
      <c r="A111" s="41" t="s">
        <v>634</v>
      </c>
      <c r="B111" s="41" t="s">
        <v>703</v>
      </c>
      <c r="C111" s="41" t="s">
        <v>67</v>
      </c>
      <c r="D111" s="41" t="s">
        <v>68</v>
      </c>
      <c r="E111" s="48" t="s">
        <v>346</v>
      </c>
      <c r="F111" s="41" t="s">
        <v>748</v>
      </c>
      <c r="G111" s="47" t="s">
        <v>705</v>
      </c>
      <c r="H111" s="47" t="s">
        <v>644</v>
      </c>
    </row>
    <row r="112" spans="1:8" ht="43.2" x14ac:dyDescent="0.3">
      <c r="A112" s="41" t="s">
        <v>634</v>
      </c>
      <c r="B112" s="41" t="s">
        <v>703</v>
      </c>
      <c r="C112" s="41" t="s">
        <v>73</v>
      </c>
      <c r="D112" s="41" t="s">
        <v>74</v>
      </c>
      <c r="E112" s="48" t="s">
        <v>346</v>
      </c>
      <c r="F112" s="41" t="s">
        <v>756</v>
      </c>
      <c r="G112" s="47" t="s">
        <v>705</v>
      </c>
      <c r="H112" s="47" t="s">
        <v>644</v>
      </c>
    </row>
    <row r="113" spans="1:8" ht="43.2" x14ac:dyDescent="0.3">
      <c r="A113" s="41" t="s">
        <v>634</v>
      </c>
      <c r="B113" s="41" t="s">
        <v>703</v>
      </c>
      <c r="C113" s="41" t="s">
        <v>79</v>
      </c>
      <c r="D113" s="41" t="s">
        <v>80</v>
      </c>
      <c r="E113" s="48" t="s">
        <v>346</v>
      </c>
      <c r="F113" s="41" t="s">
        <v>743</v>
      </c>
      <c r="G113" s="47" t="s">
        <v>705</v>
      </c>
      <c r="H113" s="47" t="s">
        <v>644</v>
      </c>
    </row>
    <row r="114" spans="1:8" ht="43.2" x14ac:dyDescent="0.3">
      <c r="A114" s="41" t="s">
        <v>634</v>
      </c>
      <c r="B114" s="41" t="s">
        <v>706</v>
      </c>
      <c r="C114" s="41" t="s">
        <v>43</v>
      </c>
      <c r="D114" s="41" t="s">
        <v>44</v>
      </c>
      <c r="E114" s="48" t="s">
        <v>349</v>
      </c>
      <c r="F114" s="41" t="s">
        <v>744</v>
      </c>
      <c r="G114" s="47" t="s">
        <v>705</v>
      </c>
      <c r="H114" s="47" t="s">
        <v>644</v>
      </c>
    </row>
    <row r="115" spans="1:8" ht="43.2" x14ac:dyDescent="0.3">
      <c r="A115" s="41" t="s">
        <v>634</v>
      </c>
      <c r="B115" s="41" t="s">
        <v>706</v>
      </c>
      <c r="C115" s="41" t="s">
        <v>49</v>
      </c>
      <c r="D115" s="41" t="s">
        <v>50</v>
      </c>
      <c r="E115" s="48" t="s">
        <v>349</v>
      </c>
      <c r="F115" s="41" t="s">
        <v>746</v>
      </c>
      <c r="G115" s="47" t="s">
        <v>705</v>
      </c>
      <c r="H115" s="47" t="s">
        <v>644</v>
      </c>
    </row>
    <row r="116" spans="1:8" ht="43.2" x14ac:dyDescent="0.3">
      <c r="A116" s="41" t="s">
        <v>634</v>
      </c>
      <c r="B116" s="41" t="s">
        <v>706</v>
      </c>
      <c r="C116" s="41" t="s">
        <v>55</v>
      </c>
      <c r="D116" s="41" t="s">
        <v>56</v>
      </c>
      <c r="E116" s="48" t="s">
        <v>349</v>
      </c>
      <c r="F116" s="41" t="s">
        <v>738</v>
      </c>
      <c r="G116" s="47" t="s">
        <v>705</v>
      </c>
      <c r="H116" s="47" t="s">
        <v>644</v>
      </c>
    </row>
    <row r="117" spans="1:8" ht="43.2" x14ac:dyDescent="0.3">
      <c r="A117" s="41" t="s">
        <v>634</v>
      </c>
      <c r="B117" s="41" t="s">
        <v>706</v>
      </c>
      <c r="C117" s="41" t="s">
        <v>61</v>
      </c>
      <c r="D117" s="41" t="s">
        <v>739</v>
      </c>
      <c r="E117" s="48" t="s">
        <v>346</v>
      </c>
      <c r="F117" s="41" t="s">
        <v>740</v>
      </c>
      <c r="G117" s="47" t="s">
        <v>705</v>
      </c>
      <c r="H117" s="47" t="s">
        <v>644</v>
      </c>
    </row>
    <row r="118" spans="1:8" ht="43.2" x14ac:dyDescent="0.3">
      <c r="A118" s="41" t="s">
        <v>634</v>
      </c>
      <c r="B118" s="41" t="s">
        <v>706</v>
      </c>
      <c r="C118" s="41" t="s">
        <v>67</v>
      </c>
      <c r="D118" s="41" t="s">
        <v>68</v>
      </c>
      <c r="E118" s="48" t="s">
        <v>346</v>
      </c>
      <c r="F118" s="41" t="s">
        <v>748</v>
      </c>
      <c r="G118" s="47" t="s">
        <v>705</v>
      </c>
      <c r="H118" s="47" t="s">
        <v>644</v>
      </c>
    </row>
    <row r="119" spans="1:8" ht="43.2" x14ac:dyDescent="0.3">
      <c r="A119" s="41" t="s">
        <v>634</v>
      </c>
      <c r="B119" s="41" t="s">
        <v>706</v>
      </c>
      <c r="C119" s="41" t="s">
        <v>73</v>
      </c>
      <c r="D119" s="41" t="s">
        <v>74</v>
      </c>
      <c r="E119" s="48" t="s">
        <v>346</v>
      </c>
      <c r="F119" s="41" t="s">
        <v>756</v>
      </c>
      <c r="G119" s="47" t="s">
        <v>705</v>
      </c>
      <c r="H119" s="47" t="s">
        <v>644</v>
      </c>
    </row>
    <row r="120" spans="1:8" ht="43.2" x14ac:dyDescent="0.3">
      <c r="A120" s="41" t="s">
        <v>634</v>
      </c>
      <c r="B120" s="41" t="s">
        <v>706</v>
      </c>
      <c r="C120" s="41" t="s">
        <v>79</v>
      </c>
      <c r="D120" s="41" t="s">
        <v>80</v>
      </c>
      <c r="E120" s="48" t="s">
        <v>346</v>
      </c>
      <c r="F120" s="41" t="s">
        <v>743</v>
      </c>
      <c r="G120" s="47" t="s">
        <v>705</v>
      </c>
      <c r="H120" s="47" t="s">
        <v>644</v>
      </c>
    </row>
    <row r="121" spans="1:8" ht="43.2" x14ac:dyDescent="0.3">
      <c r="A121" s="41" t="s">
        <v>634</v>
      </c>
      <c r="B121" s="41" t="s">
        <v>708</v>
      </c>
      <c r="C121" s="41" t="s">
        <v>43</v>
      </c>
      <c r="D121" s="41" t="s">
        <v>44</v>
      </c>
      <c r="E121" s="48" t="s">
        <v>349</v>
      </c>
      <c r="F121" s="41" t="s">
        <v>744</v>
      </c>
      <c r="G121" s="47" t="s">
        <v>705</v>
      </c>
      <c r="H121" s="47" t="s">
        <v>644</v>
      </c>
    </row>
    <row r="122" spans="1:8" ht="43.2" x14ac:dyDescent="0.3">
      <c r="A122" s="41" t="s">
        <v>634</v>
      </c>
      <c r="B122" s="41" t="s">
        <v>708</v>
      </c>
      <c r="C122" s="41" t="s">
        <v>49</v>
      </c>
      <c r="D122" s="41" t="s">
        <v>50</v>
      </c>
      <c r="E122" s="48" t="s">
        <v>349</v>
      </c>
      <c r="F122" s="41" t="s">
        <v>746</v>
      </c>
      <c r="G122" s="47" t="s">
        <v>705</v>
      </c>
      <c r="H122" s="47" t="s">
        <v>644</v>
      </c>
    </row>
    <row r="123" spans="1:8" ht="43.2" x14ac:dyDescent="0.3">
      <c r="A123" s="41" t="s">
        <v>634</v>
      </c>
      <c r="B123" s="41" t="s">
        <v>708</v>
      </c>
      <c r="C123" s="41" t="s">
        <v>55</v>
      </c>
      <c r="D123" s="41" t="s">
        <v>56</v>
      </c>
      <c r="E123" s="48" t="s">
        <v>346</v>
      </c>
      <c r="F123" s="41" t="s">
        <v>745</v>
      </c>
      <c r="G123" s="47" t="s">
        <v>705</v>
      </c>
      <c r="H123" s="47" t="s">
        <v>644</v>
      </c>
    </row>
    <row r="124" spans="1:8" ht="43.2" x14ac:dyDescent="0.3">
      <c r="A124" s="41" t="s">
        <v>634</v>
      </c>
      <c r="B124" s="41" t="s">
        <v>708</v>
      </c>
      <c r="C124" s="41" t="s">
        <v>61</v>
      </c>
      <c r="D124" s="41" t="s">
        <v>739</v>
      </c>
      <c r="E124" s="48" t="s">
        <v>346</v>
      </c>
      <c r="F124" s="41" t="s">
        <v>740</v>
      </c>
      <c r="G124" s="47" t="s">
        <v>705</v>
      </c>
      <c r="H124" s="47" t="s">
        <v>644</v>
      </c>
    </row>
    <row r="125" spans="1:8" ht="43.2" x14ac:dyDescent="0.3">
      <c r="A125" s="41" t="s">
        <v>634</v>
      </c>
      <c r="B125" s="41" t="s">
        <v>708</v>
      </c>
      <c r="C125" s="41" t="s">
        <v>67</v>
      </c>
      <c r="D125" s="41" t="s">
        <v>68</v>
      </c>
      <c r="E125" s="48" t="s">
        <v>346</v>
      </c>
      <c r="F125" s="41" t="s">
        <v>748</v>
      </c>
      <c r="G125" s="47" t="s">
        <v>705</v>
      </c>
      <c r="H125" s="47" t="s">
        <v>644</v>
      </c>
    </row>
    <row r="126" spans="1:8" ht="43.2" x14ac:dyDescent="0.3">
      <c r="A126" s="41" t="s">
        <v>634</v>
      </c>
      <c r="B126" s="41" t="s">
        <v>708</v>
      </c>
      <c r="C126" s="41" t="s">
        <v>73</v>
      </c>
      <c r="D126" s="41" t="s">
        <v>74</v>
      </c>
      <c r="E126" s="48" t="s">
        <v>346</v>
      </c>
      <c r="F126" s="41" t="s">
        <v>756</v>
      </c>
      <c r="G126" s="47" t="s">
        <v>705</v>
      </c>
      <c r="H126" s="47" t="s">
        <v>644</v>
      </c>
    </row>
    <row r="127" spans="1:8" ht="43.2" x14ac:dyDescent="0.3">
      <c r="A127" s="41" t="s">
        <v>634</v>
      </c>
      <c r="B127" s="41" t="s">
        <v>708</v>
      </c>
      <c r="C127" s="41" t="s">
        <v>79</v>
      </c>
      <c r="D127" s="41" t="s">
        <v>80</v>
      </c>
      <c r="E127" s="48" t="s">
        <v>346</v>
      </c>
      <c r="F127" s="41" t="s">
        <v>743</v>
      </c>
      <c r="G127" s="47" t="s">
        <v>705</v>
      </c>
      <c r="H127" s="47" t="s">
        <v>644</v>
      </c>
    </row>
    <row r="128" spans="1:8" ht="43.2" x14ac:dyDescent="0.3">
      <c r="A128" s="41" t="s">
        <v>634</v>
      </c>
      <c r="B128" s="41" t="s">
        <v>710</v>
      </c>
      <c r="C128" s="41" t="s">
        <v>43</v>
      </c>
      <c r="D128" s="41" t="s">
        <v>44</v>
      </c>
      <c r="E128" s="48" t="s">
        <v>349</v>
      </c>
      <c r="F128" s="41" t="s">
        <v>744</v>
      </c>
      <c r="G128" s="47" t="s">
        <v>705</v>
      </c>
      <c r="H128" s="47" t="s">
        <v>644</v>
      </c>
    </row>
    <row r="129" spans="1:8" ht="43.2" x14ac:dyDescent="0.3">
      <c r="A129" s="41" t="s">
        <v>634</v>
      </c>
      <c r="B129" s="41" t="s">
        <v>710</v>
      </c>
      <c r="C129" s="41" t="s">
        <v>49</v>
      </c>
      <c r="D129" s="41" t="s">
        <v>50</v>
      </c>
      <c r="E129" s="48" t="s">
        <v>349</v>
      </c>
      <c r="F129" s="41" t="s">
        <v>746</v>
      </c>
      <c r="G129" s="47" t="s">
        <v>705</v>
      </c>
      <c r="H129" s="47" t="s">
        <v>644</v>
      </c>
    </row>
    <row r="130" spans="1:8" ht="43.2" x14ac:dyDescent="0.3">
      <c r="A130" s="41" t="s">
        <v>634</v>
      </c>
      <c r="B130" s="41" t="s">
        <v>710</v>
      </c>
      <c r="C130" s="41" t="s">
        <v>55</v>
      </c>
      <c r="D130" s="41" t="s">
        <v>56</v>
      </c>
      <c r="E130" s="48" t="s">
        <v>349</v>
      </c>
      <c r="F130" s="41" t="s">
        <v>738</v>
      </c>
      <c r="G130" s="47" t="s">
        <v>705</v>
      </c>
      <c r="H130" s="47" t="s">
        <v>644</v>
      </c>
    </row>
    <row r="131" spans="1:8" ht="43.2" x14ac:dyDescent="0.3">
      <c r="A131" s="41" t="s">
        <v>634</v>
      </c>
      <c r="B131" s="41" t="s">
        <v>710</v>
      </c>
      <c r="C131" s="41" t="s">
        <v>61</v>
      </c>
      <c r="D131" s="41" t="s">
        <v>739</v>
      </c>
      <c r="E131" s="48" t="s">
        <v>346</v>
      </c>
      <c r="F131" s="41" t="s">
        <v>740</v>
      </c>
      <c r="G131" s="47" t="s">
        <v>705</v>
      </c>
      <c r="H131" s="47" t="s">
        <v>644</v>
      </c>
    </row>
    <row r="132" spans="1:8" ht="43.2" x14ac:dyDescent="0.3">
      <c r="A132" s="41" t="s">
        <v>634</v>
      </c>
      <c r="B132" s="41" t="s">
        <v>710</v>
      </c>
      <c r="C132" s="41" t="s">
        <v>67</v>
      </c>
      <c r="D132" s="41" t="s">
        <v>68</v>
      </c>
      <c r="E132" s="48" t="s">
        <v>346</v>
      </c>
      <c r="F132" s="41" t="s">
        <v>748</v>
      </c>
      <c r="G132" s="47" t="s">
        <v>705</v>
      </c>
      <c r="H132" s="47" t="s">
        <v>644</v>
      </c>
    </row>
    <row r="133" spans="1:8" ht="43.2" x14ac:dyDescent="0.3">
      <c r="A133" s="41" t="s">
        <v>634</v>
      </c>
      <c r="B133" s="41" t="s">
        <v>710</v>
      </c>
      <c r="C133" s="41" t="s">
        <v>73</v>
      </c>
      <c r="D133" s="41" t="s">
        <v>74</v>
      </c>
      <c r="E133" s="48" t="s">
        <v>346</v>
      </c>
      <c r="F133" s="41" t="s">
        <v>756</v>
      </c>
      <c r="G133" s="47" t="s">
        <v>705</v>
      </c>
      <c r="H133" s="47" t="s">
        <v>644</v>
      </c>
    </row>
    <row r="134" spans="1:8" ht="43.2" x14ac:dyDescent="0.3">
      <c r="A134" s="41" t="s">
        <v>634</v>
      </c>
      <c r="B134" s="41" t="s">
        <v>710</v>
      </c>
      <c r="C134" s="41" t="s">
        <v>79</v>
      </c>
      <c r="D134" s="41" t="s">
        <v>80</v>
      </c>
      <c r="E134" s="48" t="s">
        <v>346</v>
      </c>
      <c r="F134" s="41" t="s">
        <v>743</v>
      </c>
      <c r="G134" s="47" t="s">
        <v>705</v>
      </c>
      <c r="H134" s="47" t="s">
        <v>644</v>
      </c>
    </row>
    <row r="135" spans="1:8" ht="43.2" x14ac:dyDescent="0.3">
      <c r="A135" s="41" t="s">
        <v>634</v>
      </c>
      <c r="B135" s="41" t="s">
        <v>712</v>
      </c>
      <c r="C135" s="41" t="s">
        <v>43</v>
      </c>
      <c r="D135" s="41" t="s">
        <v>44</v>
      </c>
      <c r="E135" s="48" t="s">
        <v>346</v>
      </c>
      <c r="F135" s="41" t="s">
        <v>736</v>
      </c>
      <c r="G135" s="47" t="s">
        <v>705</v>
      </c>
      <c r="H135" s="47" t="s">
        <v>644</v>
      </c>
    </row>
    <row r="136" spans="1:8" ht="43.2" x14ac:dyDescent="0.3">
      <c r="A136" s="41" t="s">
        <v>634</v>
      </c>
      <c r="B136" s="41" t="s">
        <v>712</v>
      </c>
      <c r="C136" s="41" t="s">
        <v>49</v>
      </c>
      <c r="D136" s="41" t="s">
        <v>50</v>
      </c>
      <c r="E136" s="48" t="s">
        <v>346</v>
      </c>
      <c r="F136" s="41" t="s">
        <v>737</v>
      </c>
      <c r="G136" s="47" t="s">
        <v>705</v>
      </c>
      <c r="H136" s="47" t="s">
        <v>644</v>
      </c>
    </row>
    <row r="137" spans="1:8" ht="43.2" x14ac:dyDescent="0.3">
      <c r="A137" s="41" t="s">
        <v>634</v>
      </c>
      <c r="B137" s="41" t="s">
        <v>712</v>
      </c>
      <c r="C137" s="41" t="s">
        <v>55</v>
      </c>
      <c r="D137" s="41" t="s">
        <v>56</v>
      </c>
      <c r="E137" s="48" t="s">
        <v>346</v>
      </c>
      <c r="F137" s="41" t="s">
        <v>745</v>
      </c>
      <c r="G137" s="47" t="s">
        <v>705</v>
      </c>
      <c r="H137" s="47" t="s">
        <v>644</v>
      </c>
    </row>
    <row r="138" spans="1:8" ht="43.2" x14ac:dyDescent="0.3">
      <c r="A138" s="41" t="s">
        <v>634</v>
      </c>
      <c r="B138" s="41" t="s">
        <v>712</v>
      </c>
      <c r="C138" s="41" t="s">
        <v>61</v>
      </c>
      <c r="D138" s="41" t="s">
        <v>739</v>
      </c>
      <c r="E138" s="48" t="s">
        <v>346</v>
      </c>
      <c r="F138" s="41" t="s">
        <v>740</v>
      </c>
      <c r="G138" s="47" t="s">
        <v>705</v>
      </c>
      <c r="H138" s="47" t="s">
        <v>644</v>
      </c>
    </row>
    <row r="139" spans="1:8" ht="43.2" x14ac:dyDescent="0.3">
      <c r="A139" s="41" t="s">
        <v>634</v>
      </c>
      <c r="B139" s="41" t="s">
        <v>712</v>
      </c>
      <c r="C139" s="41" t="s">
        <v>67</v>
      </c>
      <c r="D139" s="41" t="s">
        <v>68</v>
      </c>
      <c r="E139" s="48" t="s">
        <v>346</v>
      </c>
      <c r="F139" s="41" t="s">
        <v>748</v>
      </c>
      <c r="G139" s="47" t="s">
        <v>705</v>
      </c>
      <c r="H139" s="47" t="s">
        <v>644</v>
      </c>
    </row>
    <row r="140" spans="1:8" ht="43.2" x14ac:dyDescent="0.3">
      <c r="A140" s="41" t="s">
        <v>634</v>
      </c>
      <c r="B140" s="41" t="s">
        <v>712</v>
      </c>
      <c r="C140" s="41" t="s">
        <v>73</v>
      </c>
      <c r="D140" s="41" t="s">
        <v>74</v>
      </c>
      <c r="E140" s="48" t="s">
        <v>346</v>
      </c>
      <c r="F140" s="41" t="s">
        <v>756</v>
      </c>
      <c r="G140" s="47" t="s">
        <v>705</v>
      </c>
      <c r="H140" s="47" t="s">
        <v>644</v>
      </c>
    </row>
    <row r="141" spans="1:8" ht="43.2" x14ac:dyDescent="0.3">
      <c r="A141" s="41" t="s">
        <v>634</v>
      </c>
      <c r="B141" s="41" t="s">
        <v>712</v>
      </c>
      <c r="C141" s="41" t="s">
        <v>79</v>
      </c>
      <c r="D141" s="41" t="s">
        <v>80</v>
      </c>
      <c r="E141" s="48" t="s">
        <v>346</v>
      </c>
      <c r="F141" s="41" t="s">
        <v>743</v>
      </c>
      <c r="G141" s="47" t="s">
        <v>705</v>
      </c>
      <c r="H141" s="47" t="s">
        <v>644</v>
      </c>
    </row>
    <row r="142" spans="1:8" ht="28.8" x14ac:dyDescent="0.3">
      <c r="A142" s="41" t="s">
        <v>634</v>
      </c>
      <c r="B142" s="41" t="s">
        <v>714</v>
      </c>
      <c r="C142" s="41" t="s">
        <v>43</v>
      </c>
      <c r="D142" s="41" t="s">
        <v>44</v>
      </c>
      <c r="E142" s="48" t="s">
        <v>349</v>
      </c>
      <c r="F142" s="41" t="s">
        <v>744</v>
      </c>
      <c r="G142" s="47" t="s">
        <v>716</v>
      </c>
      <c r="H142" s="47" t="s">
        <v>275</v>
      </c>
    </row>
    <row r="143" spans="1:8" ht="28.8" x14ac:dyDescent="0.3">
      <c r="A143" s="41" t="s">
        <v>634</v>
      </c>
      <c r="B143" s="41" t="s">
        <v>714</v>
      </c>
      <c r="C143" s="41" t="s">
        <v>49</v>
      </c>
      <c r="D143" s="41" t="s">
        <v>50</v>
      </c>
      <c r="E143" s="48" t="s">
        <v>349</v>
      </c>
      <c r="F143" s="41" t="s">
        <v>746</v>
      </c>
      <c r="G143" s="47" t="s">
        <v>716</v>
      </c>
      <c r="H143" s="47" t="s">
        <v>275</v>
      </c>
    </row>
    <row r="144" spans="1:8" ht="28.8" x14ac:dyDescent="0.3">
      <c r="A144" s="41" t="s">
        <v>634</v>
      </c>
      <c r="B144" s="41" t="s">
        <v>714</v>
      </c>
      <c r="C144" s="41" t="s">
        <v>55</v>
      </c>
      <c r="D144" s="41" t="s">
        <v>56</v>
      </c>
      <c r="E144" s="48" t="s">
        <v>346</v>
      </c>
      <c r="F144" s="41" t="s">
        <v>745</v>
      </c>
      <c r="G144" s="47" t="s">
        <v>716</v>
      </c>
      <c r="H144" s="47" t="s">
        <v>275</v>
      </c>
    </row>
    <row r="145" spans="1:8" ht="28.8" x14ac:dyDescent="0.3">
      <c r="A145" s="41" t="s">
        <v>634</v>
      </c>
      <c r="B145" s="41" t="s">
        <v>714</v>
      </c>
      <c r="C145" s="41" t="s">
        <v>61</v>
      </c>
      <c r="D145" s="41" t="s">
        <v>739</v>
      </c>
      <c r="E145" s="48" t="s">
        <v>349</v>
      </c>
      <c r="F145" s="41" t="s">
        <v>753</v>
      </c>
      <c r="G145" s="47" t="s">
        <v>716</v>
      </c>
      <c r="H145" s="47" t="s">
        <v>275</v>
      </c>
    </row>
    <row r="146" spans="1:8" ht="28.8" x14ac:dyDescent="0.3">
      <c r="A146" s="41" t="s">
        <v>634</v>
      </c>
      <c r="B146" s="41" t="s">
        <v>714</v>
      </c>
      <c r="C146" s="41" t="s">
        <v>67</v>
      </c>
      <c r="D146" s="41" t="s">
        <v>68</v>
      </c>
      <c r="E146" s="48" t="s">
        <v>349</v>
      </c>
      <c r="F146" s="41" t="s">
        <v>754</v>
      </c>
      <c r="G146" s="47" t="s">
        <v>716</v>
      </c>
      <c r="H146" s="47" t="s">
        <v>275</v>
      </c>
    </row>
    <row r="147" spans="1:8" ht="28.8" x14ac:dyDescent="0.3">
      <c r="A147" s="41" t="s">
        <v>634</v>
      </c>
      <c r="B147" s="41" t="s">
        <v>714</v>
      </c>
      <c r="C147" s="41" t="s">
        <v>73</v>
      </c>
      <c r="D147" s="41" t="s">
        <v>74</v>
      </c>
      <c r="E147" s="48" t="s">
        <v>346</v>
      </c>
      <c r="F147" s="41" t="s">
        <v>756</v>
      </c>
      <c r="G147" s="47" t="s">
        <v>716</v>
      </c>
      <c r="H147" s="47" t="s">
        <v>275</v>
      </c>
    </row>
    <row r="148" spans="1:8" ht="28.8" x14ac:dyDescent="0.3">
      <c r="A148" s="41" t="s">
        <v>634</v>
      </c>
      <c r="B148" s="41" t="s">
        <v>714</v>
      </c>
      <c r="C148" s="41" t="s">
        <v>79</v>
      </c>
      <c r="D148" s="41" t="s">
        <v>80</v>
      </c>
      <c r="E148" s="48" t="s">
        <v>349</v>
      </c>
      <c r="F148" s="41" t="s">
        <v>755</v>
      </c>
      <c r="G148" s="47" t="s">
        <v>716</v>
      </c>
      <c r="H148" s="47" t="s">
        <v>275</v>
      </c>
    </row>
    <row r="149" spans="1:8" ht="43.2" x14ac:dyDescent="0.3">
      <c r="A149" s="41" t="s">
        <v>634</v>
      </c>
      <c r="B149" s="41" t="s">
        <v>717</v>
      </c>
      <c r="C149" s="41" t="s">
        <v>43</v>
      </c>
      <c r="D149" s="41" t="s">
        <v>44</v>
      </c>
      <c r="E149" s="48" t="s">
        <v>366</v>
      </c>
      <c r="F149" s="41" t="s">
        <v>749</v>
      </c>
      <c r="G149" s="47" t="s">
        <v>705</v>
      </c>
      <c r="H149" s="47" t="s">
        <v>644</v>
      </c>
    </row>
    <row r="150" spans="1:8" ht="43.2" x14ac:dyDescent="0.3">
      <c r="A150" s="41" t="s">
        <v>634</v>
      </c>
      <c r="B150" s="41" t="s">
        <v>717</v>
      </c>
      <c r="C150" s="41" t="s">
        <v>49</v>
      </c>
      <c r="D150" s="41" t="s">
        <v>50</v>
      </c>
      <c r="E150" s="48" t="s">
        <v>366</v>
      </c>
      <c r="F150" s="41" t="s">
        <v>750</v>
      </c>
      <c r="G150" s="47" t="s">
        <v>705</v>
      </c>
      <c r="H150" s="47" t="s">
        <v>644</v>
      </c>
    </row>
    <row r="151" spans="1:8" ht="43.2" x14ac:dyDescent="0.3">
      <c r="A151" s="41" t="s">
        <v>634</v>
      </c>
      <c r="B151" s="41" t="s">
        <v>717</v>
      </c>
      <c r="C151" s="41" t="s">
        <v>55</v>
      </c>
      <c r="D151" s="41" t="s">
        <v>56</v>
      </c>
      <c r="E151" s="48" t="s">
        <v>346</v>
      </c>
      <c r="F151" s="41" t="s">
        <v>745</v>
      </c>
      <c r="G151" s="47" t="s">
        <v>705</v>
      </c>
      <c r="H151" s="47" t="s">
        <v>644</v>
      </c>
    </row>
    <row r="152" spans="1:8" ht="43.2" x14ac:dyDescent="0.3">
      <c r="A152" s="41" t="s">
        <v>634</v>
      </c>
      <c r="B152" s="41" t="s">
        <v>717</v>
      </c>
      <c r="C152" s="41" t="s">
        <v>61</v>
      </c>
      <c r="D152" s="41" t="s">
        <v>739</v>
      </c>
      <c r="E152" s="48" t="s">
        <v>346</v>
      </c>
      <c r="F152" s="41" t="s">
        <v>740</v>
      </c>
      <c r="G152" s="47" t="s">
        <v>705</v>
      </c>
      <c r="H152" s="47" t="s">
        <v>644</v>
      </c>
    </row>
    <row r="153" spans="1:8" ht="43.2" x14ac:dyDescent="0.3">
      <c r="A153" s="41" t="s">
        <v>634</v>
      </c>
      <c r="B153" s="41" t="s">
        <v>717</v>
      </c>
      <c r="C153" s="41" t="s">
        <v>67</v>
      </c>
      <c r="D153" s="41" t="s">
        <v>68</v>
      </c>
      <c r="E153" s="48" t="s">
        <v>346</v>
      </c>
      <c r="F153" s="41" t="s">
        <v>748</v>
      </c>
      <c r="G153" s="47" t="s">
        <v>705</v>
      </c>
      <c r="H153" s="47" t="s">
        <v>644</v>
      </c>
    </row>
    <row r="154" spans="1:8" ht="43.2" x14ac:dyDescent="0.3">
      <c r="A154" s="41" t="s">
        <v>634</v>
      </c>
      <c r="B154" s="41" t="s">
        <v>717</v>
      </c>
      <c r="C154" s="41" t="s">
        <v>73</v>
      </c>
      <c r="D154" s="41" t="s">
        <v>74</v>
      </c>
      <c r="E154" s="48" t="s">
        <v>346</v>
      </c>
      <c r="F154" s="41" t="s">
        <v>756</v>
      </c>
      <c r="G154" s="47" t="s">
        <v>705</v>
      </c>
      <c r="H154" s="47" t="s">
        <v>644</v>
      </c>
    </row>
    <row r="155" spans="1:8" ht="43.2" x14ac:dyDescent="0.3">
      <c r="A155" s="41" t="s">
        <v>634</v>
      </c>
      <c r="B155" s="41" t="s">
        <v>717</v>
      </c>
      <c r="C155" s="41" t="s">
        <v>79</v>
      </c>
      <c r="D155" s="41" t="s">
        <v>80</v>
      </c>
      <c r="E155" s="48" t="s">
        <v>346</v>
      </c>
      <c r="F155" s="41" t="s">
        <v>743</v>
      </c>
      <c r="G155" s="47" t="s">
        <v>705</v>
      </c>
      <c r="H155" s="47" t="s">
        <v>644</v>
      </c>
    </row>
    <row r="156" spans="1:8" ht="28.8" x14ac:dyDescent="0.3">
      <c r="A156" s="41" t="s">
        <v>645</v>
      </c>
      <c r="B156" s="41" t="s">
        <v>719</v>
      </c>
      <c r="C156" s="41" t="s">
        <v>43</v>
      </c>
      <c r="D156" s="41" t="s">
        <v>44</v>
      </c>
      <c r="E156" s="48" t="s">
        <v>346</v>
      </c>
      <c r="F156" s="41" t="s">
        <v>736</v>
      </c>
      <c r="G156" s="47" t="s">
        <v>721</v>
      </c>
      <c r="H156" s="47" t="s">
        <v>267</v>
      </c>
    </row>
    <row r="157" spans="1:8" ht="28.8" x14ac:dyDescent="0.3">
      <c r="A157" s="41" t="s">
        <v>645</v>
      </c>
      <c r="B157" s="41" t="s">
        <v>719</v>
      </c>
      <c r="C157" s="41" t="s">
        <v>49</v>
      </c>
      <c r="D157" s="41" t="s">
        <v>50</v>
      </c>
      <c r="E157" s="48" t="s">
        <v>349</v>
      </c>
      <c r="F157" s="41" t="s">
        <v>746</v>
      </c>
      <c r="G157" s="47" t="s">
        <v>721</v>
      </c>
      <c r="H157" s="47" t="s">
        <v>267</v>
      </c>
    </row>
    <row r="158" spans="1:8" ht="28.8" x14ac:dyDescent="0.3">
      <c r="A158" s="41" t="s">
        <v>645</v>
      </c>
      <c r="B158" s="41" t="s">
        <v>719</v>
      </c>
      <c r="C158" s="41" t="s">
        <v>55</v>
      </c>
      <c r="D158" s="41" t="s">
        <v>56</v>
      </c>
      <c r="E158" s="48" t="s">
        <v>349</v>
      </c>
      <c r="F158" s="41" t="s">
        <v>738</v>
      </c>
      <c r="G158" s="47" t="s">
        <v>721</v>
      </c>
      <c r="H158" s="47" t="s">
        <v>267</v>
      </c>
    </row>
    <row r="159" spans="1:8" ht="28.8" x14ac:dyDescent="0.3">
      <c r="A159" s="41" t="s">
        <v>645</v>
      </c>
      <c r="B159" s="41" t="s">
        <v>719</v>
      </c>
      <c r="C159" s="41" t="s">
        <v>61</v>
      </c>
      <c r="D159" s="41" t="s">
        <v>739</v>
      </c>
      <c r="E159" s="48" t="s">
        <v>366</v>
      </c>
      <c r="F159" s="41" t="s">
        <v>747</v>
      </c>
      <c r="G159" s="47" t="s">
        <v>721</v>
      </c>
      <c r="H159" s="47" t="s">
        <v>267</v>
      </c>
    </row>
    <row r="160" spans="1:8" ht="28.8" x14ac:dyDescent="0.3">
      <c r="A160" s="41" t="s">
        <v>645</v>
      </c>
      <c r="B160" s="41" t="s">
        <v>719</v>
      </c>
      <c r="C160" s="41" t="s">
        <v>67</v>
      </c>
      <c r="D160" s="41" t="s">
        <v>68</v>
      </c>
      <c r="E160" s="48" t="s">
        <v>346</v>
      </c>
      <c r="F160" s="41" t="s">
        <v>748</v>
      </c>
      <c r="G160" s="47" t="s">
        <v>721</v>
      </c>
      <c r="H160" s="47" t="s">
        <v>267</v>
      </c>
    </row>
    <row r="161" spans="1:8" ht="28.8" x14ac:dyDescent="0.3">
      <c r="A161" s="41" t="s">
        <v>645</v>
      </c>
      <c r="B161" s="41" t="s">
        <v>719</v>
      </c>
      <c r="C161" s="41" t="s">
        <v>73</v>
      </c>
      <c r="D161" s="41" t="s">
        <v>74</v>
      </c>
      <c r="E161" s="48" t="s">
        <v>366</v>
      </c>
      <c r="F161" s="41" t="s">
        <v>742</v>
      </c>
      <c r="G161" s="47" t="s">
        <v>721</v>
      </c>
      <c r="H161" s="47" t="s">
        <v>267</v>
      </c>
    </row>
    <row r="162" spans="1:8" ht="28.8" x14ac:dyDescent="0.3">
      <c r="A162" s="41" t="s">
        <v>645</v>
      </c>
      <c r="B162" s="41" t="s">
        <v>719</v>
      </c>
      <c r="C162" s="41" t="s">
        <v>79</v>
      </c>
      <c r="D162" s="41" t="s">
        <v>80</v>
      </c>
      <c r="E162" s="48" t="s">
        <v>346</v>
      </c>
      <c r="F162" s="41" t="s">
        <v>743</v>
      </c>
      <c r="G162" s="47" t="s">
        <v>721</v>
      </c>
      <c r="H162" s="47" t="s">
        <v>267</v>
      </c>
    </row>
    <row r="163" spans="1:8" ht="28.8" x14ac:dyDescent="0.3">
      <c r="A163" s="41" t="s">
        <v>645</v>
      </c>
      <c r="B163" s="41" t="s">
        <v>722</v>
      </c>
      <c r="C163" s="41" t="s">
        <v>43</v>
      </c>
      <c r="D163" s="41" t="s">
        <v>44</v>
      </c>
      <c r="E163" s="48" t="s">
        <v>349</v>
      </c>
      <c r="F163" s="41" t="s">
        <v>744</v>
      </c>
      <c r="G163" s="47" t="s">
        <v>721</v>
      </c>
      <c r="H163" s="47" t="s">
        <v>267</v>
      </c>
    </row>
    <row r="164" spans="1:8" ht="28.8" x14ac:dyDescent="0.3">
      <c r="A164" s="41" t="s">
        <v>645</v>
      </c>
      <c r="B164" s="41" t="s">
        <v>722</v>
      </c>
      <c r="C164" s="41" t="s">
        <v>49</v>
      </c>
      <c r="D164" s="41" t="s">
        <v>50</v>
      </c>
      <c r="E164" s="48" t="s">
        <v>346</v>
      </c>
      <c r="F164" s="41" t="s">
        <v>737</v>
      </c>
      <c r="G164" s="47" t="s">
        <v>721</v>
      </c>
      <c r="H164" s="47" t="s">
        <v>267</v>
      </c>
    </row>
    <row r="165" spans="1:8" ht="28.8" x14ac:dyDescent="0.3">
      <c r="A165" s="41" t="s">
        <v>645</v>
      </c>
      <c r="B165" s="41" t="s">
        <v>722</v>
      </c>
      <c r="C165" s="41" t="s">
        <v>55</v>
      </c>
      <c r="D165" s="41" t="s">
        <v>56</v>
      </c>
      <c r="E165" s="48" t="s">
        <v>349</v>
      </c>
      <c r="F165" s="41" t="s">
        <v>738</v>
      </c>
      <c r="G165" s="47" t="s">
        <v>721</v>
      </c>
      <c r="H165" s="47" t="s">
        <v>267</v>
      </c>
    </row>
    <row r="166" spans="1:8" ht="28.8" x14ac:dyDescent="0.3">
      <c r="A166" s="41" t="s">
        <v>645</v>
      </c>
      <c r="B166" s="41" t="s">
        <v>722</v>
      </c>
      <c r="C166" s="41" t="s">
        <v>61</v>
      </c>
      <c r="D166" s="41" t="s">
        <v>739</v>
      </c>
      <c r="E166" s="48" t="s">
        <v>366</v>
      </c>
      <c r="F166" s="41" t="s">
        <v>747</v>
      </c>
      <c r="G166" s="47" t="s">
        <v>721</v>
      </c>
      <c r="H166" s="47" t="s">
        <v>267</v>
      </c>
    </row>
    <row r="167" spans="1:8" ht="28.8" x14ac:dyDescent="0.3">
      <c r="A167" s="41" t="s">
        <v>645</v>
      </c>
      <c r="B167" s="41" t="s">
        <v>722</v>
      </c>
      <c r="C167" s="41" t="s">
        <v>67</v>
      </c>
      <c r="D167" s="41" t="s">
        <v>68</v>
      </c>
      <c r="E167" s="48" t="s">
        <v>346</v>
      </c>
      <c r="F167" s="41" t="s">
        <v>748</v>
      </c>
      <c r="G167" s="47" t="s">
        <v>721</v>
      </c>
      <c r="H167" s="47" t="s">
        <v>267</v>
      </c>
    </row>
    <row r="168" spans="1:8" ht="28.8" x14ac:dyDescent="0.3">
      <c r="A168" s="41" t="s">
        <v>645</v>
      </c>
      <c r="B168" s="41" t="s">
        <v>722</v>
      </c>
      <c r="C168" s="41" t="s">
        <v>73</v>
      </c>
      <c r="D168" s="41" t="s">
        <v>74</v>
      </c>
      <c r="E168" s="48" t="s">
        <v>366</v>
      </c>
      <c r="F168" s="41" t="s">
        <v>742</v>
      </c>
      <c r="G168" s="47" t="s">
        <v>721</v>
      </c>
      <c r="H168" s="47" t="s">
        <v>267</v>
      </c>
    </row>
    <row r="169" spans="1:8" ht="28.8" x14ac:dyDescent="0.3">
      <c r="A169" s="41" t="s">
        <v>645</v>
      </c>
      <c r="B169" s="41" t="s">
        <v>722</v>
      </c>
      <c r="C169" s="41" t="s">
        <v>79</v>
      </c>
      <c r="D169" s="41" t="s">
        <v>80</v>
      </c>
      <c r="E169" s="48" t="s">
        <v>366</v>
      </c>
      <c r="F169" s="41" t="s">
        <v>751</v>
      </c>
      <c r="G169" s="47" t="s">
        <v>721</v>
      </c>
      <c r="H169" s="47" t="s">
        <v>267</v>
      </c>
    </row>
    <row r="170" spans="1:8" ht="28.8" x14ac:dyDescent="0.3">
      <c r="A170" s="41" t="s">
        <v>645</v>
      </c>
      <c r="B170" s="41" t="s">
        <v>724</v>
      </c>
      <c r="C170" s="41" t="s">
        <v>43</v>
      </c>
      <c r="D170" s="41" t="s">
        <v>44</v>
      </c>
      <c r="E170" s="48" t="s">
        <v>346</v>
      </c>
      <c r="F170" s="41" t="s">
        <v>736</v>
      </c>
      <c r="G170" s="47" t="s">
        <v>721</v>
      </c>
      <c r="H170" s="47" t="s">
        <v>267</v>
      </c>
    </row>
    <row r="171" spans="1:8" ht="28.8" x14ac:dyDescent="0.3">
      <c r="A171" s="41" t="s">
        <v>645</v>
      </c>
      <c r="B171" s="41" t="s">
        <v>724</v>
      </c>
      <c r="C171" s="41" t="s">
        <v>49</v>
      </c>
      <c r="D171" s="41" t="s">
        <v>50</v>
      </c>
      <c r="E171" s="48" t="s">
        <v>346</v>
      </c>
      <c r="F171" s="41" t="s">
        <v>737</v>
      </c>
      <c r="G171" s="47" t="s">
        <v>721</v>
      </c>
      <c r="H171" s="47" t="s">
        <v>267</v>
      </c>
    </row>
    <row r="172" spans="1:8" ht="28.8" x14ac:dyDescent="0.3">
      <c r="A172" s="41" t="s">
        <v>645</v>
      </c>
      <c r="B172" s="41" t="s">
        <v>724</v>
      </c>
      <c r="C172" s="41" t="s">
        <v>55</v>
      </c>
      <c r="D172" s="41" t="s">
        <v>56</v>
      </c>
      <c r="E172" s="48" t="s">
        <v>349</v>
      </c>
      <c r="F172" s="41" t="s">
        <v>738</v>
      </c>
      <c r="G172" s="47" t="s">
        <v>721</v>
      </c>
      <c r="H172" s="47" t="s">
        <v>267</v>
      </c>
    </row>
    <row r="173" spans="1:8" ht="28.8" x14ac:dyDescent="0.3">
      <c r="A173" s="41" t="s">
        <v>645</v>
      </c>
      <c r="B173" s="41" t="s">
        <v>724</v>
      </c>
      <c r="C173" s="41" t="s">
        <v>61</v>
      </c>
      <c r="D173" s="41" t="s">
        <v>739</v>
      </c>
      <c r="E173" s="48" t="s">
        <v>366</v>
      </c>
      <c r="F173" s="41" t="s">
        <v>747</v>
      </c>
      <c r="G173" s="47" t="s">
        <v>721</v>
      </c>
      <c r="H173" s="47" t="s">
        <v>267</v>
      </c>
    </row>
    <row r="174" spans="1:8" ht="28.8" x14ac:dyDescent="0.3">
      <c r="A174" s="41" t="s">
        <v>645</v>
      </c>
      <c r="B174" s="41" t="s">
        <v>724</v>
      </c>
      <c r="C174" s="41" t="s">
        <v>67</v>
      </c>
      <c r="D174" s="41" t="s">
        <v>68</v>
      </c>
      <c r="E174" s="48" t="s">
        <v>366</v>
      </c>
      <c r="F174" s="41" t="s">
        <v>741</v>
      </c>
      <c r="G174" s="47" t="s">
        <v>721</v>
      </c>
      <c r="H174" s="47" t="s">
        <v>267</v>
      </c>
    </row>
    <row r="175" spans="1:8" ht="28.8" x14ac:dyDescent="0.3">
      <c r="A175" s="41" t="s">
        <v>645</v>
      </c>
      <c r="B175" s="41" t="s">
        <v>724</v>
      </c>
      <c r="C175" s="41" t="s">
        <v>73</v>
      </c>
      <c r="D175" s="41" t="s">
        <v>74</v>
      </c>
      <c r="E175" s="48" t="s">
        <v>366</v>
      </c>
      <c r="F175" s="41" t="s">
        <v>742</v>
      </c>
      <c r="G175" s="47" t="s">
        <v>721</v>
      </c>
      <c r="H175" s="47" t="s">
        <v>267</v>
      </c>
    </row>
    <row r="176" spans="1:8" ht="28.8" x14ac:dyDescent="0.3">
      <c r="A176" s="41" t="s">
        <v>645</v>
      </c>
      <c r="B176" s="41" t="s">
        <v>724</v>
      </c>
      <c r="C176" s="41" t="s">
        <v>79</v>
      </c>
      <c r="D176" s="41" t="s">
        <v>80</v>
      </c>
      <c r="E176" s="48" t="s">
        <v>366</v>
      </c>
      <c r="F176" s="41" t="s">
        <v>751</v>
      </c>
      <c r="G176" s="47" t="s">
        <v>721</v>
      </c>
      <c r="H176" s="47" t="s">
        <v>267</v>
      </c>
    </row>
    <row r="177" spans="1:8" ht="28.8" x14ac:dyDescent="0.3">
      <c r="A177" s="41" t="s">
        <v>645</v>
      </c>
      <c r="B177" s="41" t="s">
        <v>726</v>
      </c>
      <c r="C177" s="41" t="s">
        <v>43</v>
      </c>
      <c r="D177" s="41" t="s">
        <v>44</v>
      </c>
      <c r="E177" s="48" t="s">
        <v>349</v>
      </c>
      <c r="F177" s="41" t="s">
        <v>744</v>
      </c>
      <c r="G177" s="47" t="s">
        <v>721</v>
      </c>
      <c r="H177" s="47" t="s">
        <v>267</v>
      </c>
    </row>
    <row r="178" spans="1:8" ht="28.8" x14ac:dyDescent="0.3">
      <c r="A178" s="41" t="s">
        <v>645</v>
      </c>
      <c r="B178" s="41" t="s">
        <v>726</v>
      </c>
      <c r="C178" s="41" t="s">
        <v>49</v>
      </c>
      <c r="D178" s="41" t="s">
        <v>50</v>
      </c>
      <c r="E178" s="48" t="s">
        <v>346</v>
      </c>
      <c r="F178" s="41" t="s">
        <v>737</v>
      </c>
      <c r="G178" s="47" t="s">
        <v>721</v>
      </c>
      <c r="H178" s="47" t="s">
        <v>267</v>
      </c>
    </row>
    <row r="179" spans="1:8" ht="28.8" x14ac:dyDescent="0.3">
      <c r="A179" s="41" t="s">
        <v>645</v>
      </c>
      <c r="B179" s="41" t="s">
        <v>726</v>
      </c>
      <c r="C179" s="41" t="s">
        <v>55</v>
      </c>
      <c r="D179" s="41" t="s">
        <v>56</v>
      </c>
      <c r="E179" s="48" t="s">
        <v>349</v>
      </c>
      <c r="F179" s="41" t="s">
        <v>738</v>
      </c>
      <c r="G179" s="47" t="s">
        <v>721</v>
      </c>
      <c r="H179" s="47" t="s">
        <v>267</v>
      </c>
    </row>
    <row r="180" spans="1:8" ht="28.8" x14ac:dyDescent="0.3">
      <c r="A180" s="41" t="s">
        <v>645</v>
      </c>
      <c r="B180" s="41" t="s">
        <v>726</v>
      </c>
      <c r="C180" s="41" t="s">
        <v>61</v>
      </c>
      <c r="D180" s="41" t="s">
        <v>739</v>
      </c>
      <c r="E180" s="48" t="s">
        <v>366</v>
      </c>
      <c r="F180" s="41" t="s">
        <v>747</v>
      </c>
      <c r="G180" s="47" t="s">
        <v>721</v>
      </c>
      <c r="H180" s="47" t="s">
        <v>267</v>
      </c>
    </row>
    <row r="181" spans="1:8" ht="28.8" x14ac:dyDescent="0.3">
      <c r="A181" s="41" t="s">
        <v>645</v>
      </c>
      <c r="B181" s="41" t="s">
        <v>726</v>
      </c>
      <c r="C181" s="41" t="s">
        <v>67</v>
      </c>
      <c r="D181" s="41" t="s">
        <v>68</v>
      </c>
      <c r="E181" s="48" t="s">
        <v>366</v>
      </c>
      <c r="F181" s="41" t="s">
        <v>741</v>
      </c>
      <c r="G181" s="47" t="s">
        <v>721</v>
      </c>
      <c r="H181" s="47" t="s">
        <v>267</v>
      </c>
    </row>
    <row r="182" spans="1:8" ht="28.8" x14ac:dyDescent="0.3">
      <c r="A182" s="41" t="s">
        <v>645</v>
      </c>
      <c r="B182" s="41" t="s">
        <v>726</v>
      </c>
      <c r="C182" s="41" t="s">
        <v>73</v>
      </c>
      <c r="D182" s="41" t="s">
        <v>74</v>
      </c>
      <c r="E182" s="48" t="s">
        <v>366</v>
      </c>
      <c r="F182" s="41" t="s">
        <v>742</v>
      </c>
      <c r="G182" s="47" t="s">
        <v>721</v>
      </c>
      <c r="H182" s="47" t="s">
        <v>267</v>
      </c>
    </row>
    <row r="183" spans="1:8" ht="28.8" x14ac:dyDescent="0.3">
      <c r="A183" s="41" t="s">
        <v>645</v>
      </c>
      <c r="B183" s="41" t="s">
        <v>726</v>
      </c>
      <c r="C183" s="41" t="s">
        <v>79</v>
      </c>
      <c r="D183" s="41" t="s">
        <v>80</v>
      </c>
      <c r="E183" s="48" t="s">
        <v>366</v>
      </c>
      <c r="F183" s="41" t="s">
        <v>751</v>
      </c>
      <c r="G183" s="47" t="s">
        <v>721</v>
      </c>
      <c r="H183" s="47" t="s">
        <v>267</v>
      </c>
    </row>
    <row r="184" spans="1:8" ht="28.8" x14ac:dyDescent="0.3">
      <c r="A184" s="41" t="s">
        <v>645</v>
      </c>
      <c r="B184" s="41" t="s">
        <v>728</v>
      </c>
      <c r="C184" s="41" t="s">
        <v>43</v>
      </c>
      <c r="D184" s="41" t="s">
        <v>44</v>
      </c>
      <c r="E184" s="48" t="s">
        <v>346</v>
      </c>
      <c r="F184" s="41" t="s">
        <v>736</v>
      </c>
      <c r="G184" s="47" t="s">
        <v>721</v>
      </c>
      <c r="H184" s="47" t="s">
        <v>267</v>
      </c>
    </row>
    <row r="185" spans="1:8" ht="28.8" x14ac:dyDescent="0.3">
      <c r="A185" s="41" t="s">
        <v>645</v>
      </c>
      <c r="B185" s="41" t="s">
        <v>728</v>
      </c>
      <c r="C185" s="41" t="s">
        <v>49</v>
      </c>
      <c r="D185" s="41" t="s">
        <v>50</v>
      </c>
      <c r="E185" s="48" t="s">
        <v>346</v>
      </c>
      <c r="F185" s="41" t="s">
        <v>737</v>
      </c>
      <c r="G185" s="47" t="s">
        <v>721</v>
      </c>
      <c r="H185" s="47" t="s">
        <v>267</v>
      </c>
    </row>
    <row r="186" spans="1:8" ht="28.8" x14ac:dyDescent="0.3">
      <c r="A186" s="41" t="s">
        <v>645</v>
      </c>
      <c r="B186" s="41" t="s">
        <v>728</v>
      </c>
      <c r="C186" s="41" t="s">
        <v>55</v>
      </c>
      <c r="D186" s="41" t="s">
        <v>56</v>
      </c>
      <c r="E186" s="48" t="s">
        <v>346</v>
      </c>
      <c r="F186" s="41" t="s">
        <v>745</v>
      </c>
      <c r="G186" s="47" t="s">
        <v>721</v>
      </c>
      <c r="H186" s="47" t="s">
        <v>267</v>
      </c>
    </row>
    <row r="187" spans="1:8" ht="28.8" x14ac:dyDescent="0.3">
      <c r="A187" s="41" t="s">
        <v>645</v>
      </c>
      <c r="B187" s="41" t="s">
        <v>728</v>
      </c>
      <c r="C187" s="41" t="s">
        <v>61</v>
      </c>
      <c r="D187" s="41" t="s">
        <v>739</v>
      </c>
      <c r="E187" s="48" t="s">
        <v>366</v>
      </c>
      <c r="F187" s="41" t="s">
        <v>747</v>
      </c>
      <c r="G187" s="47" t="s">
        <v>721</v>
      </c>
      <c r="H187" s="47" t="s">
        <v>267</v>
      </c>
    </row>
    <row r="188" spans="1:8" ht="28.8" x14ac:dyDescent="0.3">
      <c r="A188" s="41" t="s">
        <v>645</v>
      </c>
      <c r="B188" s="41" t="s">
        <v>728</v>
      </c>
      <c r="C188" s="41" t="s">
        <v>67</v>
      </c>
      <c r="D188" s="41" t="s">
        <v>68</v>
      </c>
      <c r="E188" s="48" t="s">
        <v>366</v>
      </c>
      <c r="F188" s="41" t="s">
        <v>741</v>
      </c>
      <c r="G188" s="47" t="s">
        <v>721</v>
      </c>
      <c r="H188" s="47" t="s">
        <v>267</v>
      </c>
    </row>
    <row r="189" spans="1:8" ht="28.8" x14ac:dyDescent="0.3">
      <c r="A189" s="41" t="s">
        <v>645</v>
      </c>
      <c r="B189" s="41" t="s">
        <v>728</v>
      </c>
      <c r="C189" s="41" t="s">
        <v>73</v>
      </c>
      <c r="D189" s="41" t="s">
        <v>74</v>
      </c>
      <c r="E189" s="48" t="s">
        <v>366</v>
      </c>
      <c r="F189" s="41" t="s">
        <v>742</v>
      </c>
      <c r="G189" s="47" t="s">
        <v>721</v>
      </c>
      <c r="H189" s="47" t="s">
        <v>267</v>
      </c>
    </row>
    <row r="190" spans="1:8" ht="28.8" x14ac:dyDescent="0.3">
      <c r="A190" s="41" t="s">
        <v>645</v>
      </c>
      <c r="B190" s="41" t="s">
        <v>728</v>
      </c>
      <c r="C190" s="41" t="s">
        <v>79</v>
      </c>
      <c r="D190" s="41" t="s">
        <v>80</v>
      </c>
      <c r="E190" s="48" t="s">
        <v>366</v>
      </c>
      <c r="F190" s="41" t="s">
        <v>751</v>
      </c>
      <c r="G190" s="47" t="s">
        <v>721</v>
      </c>
      <c r="H190" s="47" t="s">
        <v>267</v>
      </c>
    </row>
    <row r="191" spans="1:8" ht="28.8" x14ac:dyDescent="0.3">
      <c r="A191" s="41" t="s">
        <v>645</v>
      </c>
      <c r="B191" s="41" t="s">
        <v>730</v>
      </c>
      <c r="C191" s="41" t="s">
        <v>43</v>
      </c>
      <c r="D191" s="41" t="s">
        <v>44</v>
      </c>
      <c r="E191" s="48" t="s">
        <v>366</v>
      </c>
      <c r="F191" s="41" t="s">
        <v>749</v>
      </c>
      <c r="G191" s="47" t="s">
        <v>721</v>
      </c>
      <c r="H191" s="47" t="s">
        <v>267</v>
      </c>
    </row>
    <row r="192" spans="1:8" ht="28.8" x14ac:dyDescent="0.3">
      <c r="A192" s="41" t="s">
        <v>645</v>
      </c>
      <c r="B192" s="41" t="s">
        <v>730</v>
      </c>
      <c r="C192" s="41" t="s">
        <v>49</v>
      </c>
      <c r="D192" s="41" t="s">
        <v>50</v>
      </c>
      <c r="E192" s="48" t="s">
        <v>366</v>
      </c>
      <c r="F192" s="41" t="s">
        <v>750</v>
      </c>
      <c r="G192" s="47" t="s">
        <v>721</v>
      </c>
      <c r="H192" s="47" t="s">
        <v>267</v>
      </c>
    </row>
    <row r="193" spans="1:8" ht="28.8" x14ac:dyDescent="0.3">
      <c r="A193" s="41" t="s">
        <v>645</v>
      </c>
      <c r="B193" s="41" t="s">
        <v>730</v>
      </c>
      <c r="C193" s="41" t="s">
        <v>55</v>
      </c>
      <c r="D193" s="41" t="s">
        <v>56</v>
      </c>
      <c r="E193" s="48" t="s">
        <v>346</v>
      </c>
      <c r="F193" s="41" t="s">
        <v>745</v>
      </c>
      <c r="G193" s="47" t="s">
        <v>721</v>
      </c>
      <c r="H193" s="47" t="s">
        <v>267</v>
      </c>
    </row>
    <row r="194" spans="1:8" ht="28.8" x14ac:dyDescent="0.3">
      <c r="A194" s="41" t="s">
        <v>645</v>
      </c>
      <c r="B194" s="41" t="s">
        <v>730</v>
      </c>
      <c r="C194" s="41" t="s">
        <v>61</v>
      </c>
      <c r="D194" s="41" t="s">
        <v>739</v>
      </c>
      <c r="E194" s="48" t="s">
        <v>366</v>
      </c>
      <c r="F194" s="41" t="s">
        <v>747</v>
      </c>
      <c r="G194" s="47" t="s">
        <v>721</v>
      </c>
      <c r="H194" s="47" t="s">
        <v>267</v>
      </c>
    </row>
    <row r="195" spans="1:8" ht="28.8" x14ac:dyDescent="0.3">
      <c r="A195" s="41" t="s">
        <v>645</v>
      </c>
      <c r="B195" s="41" t="s">
        <v>730</v>
      </c>
      <c r="C195" s="41" t="s">
        <v>67</v>
      </c>
      <c r="D195" s="41" t="s">
        <v>68</v>
      </c>
      <c r="E195" s="48" t="s">
        <v>366</v>
      </c>
      <c r="F195" s="41" t="s">
        <v>741</v>
      </c>
      <c r="G195" s="47" t="s">
        <v>721</v>
      </c>
      <c r="H195" s="47" t="s">
        <v>267</v>
      </c>
    </row>
    <row r="196" spans="1:8" ht="28.8" x14ac:dyDescent="0.3">
      <c r="A196" s="41" t="s">
        <v>645</v>
      </c>
      <c r="B196" s="41" t="s">
        <v>730</v>
      </c>
      <c r="C196" s="41" t="s">
        <v>73</v>
      </c>
      <c r="D196" s="41" t="s">
        <v>74</v>
      </c>
      <c r="E196" s="48" t="s">
        <v>366</v>
      </c>
      <c r="F196" s="41" t="s">
        <v>742</v>
      </c>
      <c r="G196" s="47" t="s">
        <v>721</v>
      </c>
      <c r="H196" s="47" t="s">
        <v>267</v>
      </c>
    </row>
    <row r="197" spans="1:8" ht="28.8" x14ac:dyDescent="0.3">
      <c r="A197" s="41" t="s">
        <v>645</v>
      </c>
      <c r="B197" s="41" t="s">
        <v>730</v>
      </c>
      <c r="C197" s="41" t="s">
        <v>79</v>
      </c>
      <c r="D197" s="41" t="s">
        <v>80</v>
      </c>
      <c r="E197" s="48" t="s">
        <v>366</v>
      </c>
      <c r="F197" s="41" t="s">
        <v>751</v>
      </c>
      <c r="G197" s="47" t="s">
        <v>721</v>
      </c>
      <c r="H197" s="47" t="s">
        <v>267</v>
      </c>
    </row>
    <row r="198" spans="1:8" ht="28.8" x14ac:dyDescent="0.3">
      <c r="A198" s="41" t="s">
        <v>656</v>
      </c>
      <c r="B198" s="41" t="s">
        <v>657</v>
      </c>
      <c r="C198" s="41" t="s">
        <v>43</v>
      </c>
      <c r="D198" s="41" t="s">
        <v>44</v>
      </c>
      <c r="E198" s="48" t="s">
        <v>349</v>
      </c>
      <c r="F198" s="41" t="s">
        <v>744</v>
      </c>
      <c r="G198" s="47" t="s">
        <v>673</v>
      </c>
      <c r="H198" s="47" t="s">
        <v>667</v>
      </c>
    </row>
    <row r="199" spans="1:8" ht="28.8" x14ac:dyDescent="0.3">
      <c r="A199" s="41" t="s">
        <v>656</v>
      </c>
      <c r="B199" s="41" t="s">
        <v>657</v>
      </c>
      <c r="C199" s="41" t="s">
        <v>49</v>
      </c>
      <c r="D199" s="41" t="s">
        <v>50</v>
      </c>
      <c r="E199" s="48" t="s">
        <v>349</v>
      </c>
      <c r="F199" s="41" t="s">
        <v>746</v>
      </c>
      <c r="G199" s="47" t="s">
        <v>673</v>
      </c>
      <c r="H199" s="47" t="s">
        <v>667</v>
      </c>
    </row>
    <row r="200" spans="1:8" ht="28.8" x14ac:dyDescent="0.3">
      <c r="A200" s="41" t="s">
        <v>656</v>
      </c>
      <c r="B200" s="41" t="s">
        <v>657</v>
      </c>
      <c r="C200" s="41" t="s">
        <v>55</v>
      </c>
      <c r="D200" s="41" t="s">
        <v>56</v>
      </c>
      <c r="E200" s="48" t="s">
        <v>349</v>
      </c>
      <c r="F200" s="41" t="s">
        <v>738</v>
      </c>
      <c r="G200" s="47" t="s">
        <v>673</v>
      </c>
      <c r="H200" s="47" t="s">
        <v>667</v>
      </c>
    </row>
    <row r="201" spans="1:8" ht="28.8" x14ac:dyDescent="0.3">
      <c r="A201" s="41" t="s">
        <v>656</v>
      </c>
      <c r="B201" s="41" t="s">
        <v>657</v>
      </c>
      <c r="C201" s="41" t="s">
        <v>61</v>
      </c>
      <c r="D201" s="41" t="s">
        <v>739</v>
      </c>
      <c r="E201" s="48" t="s">
        <v>346</v>
      </c>
      <c r="F201" s="41" t="s">
        <v>740</v>
      </c>
      <c r="G201" s="47" t="s">
        <v>673</v>
      </c>
      <c r="H201" s="47" t="s">
        <v>667</v>
      </c>
    </row>
    <row r="202" spans="1:8" ht="28.8" x14ac:dyDescent="0.3">
      <c r="A202" s="41" t="s">
        <v>656</v>
      </c>
      <c r="B202" s="41" t="s">
        <v>657</v>
      </c>
      <c r="C202" s="41" t="s">
        <v>67</v>
      </c>
      <c r="D202" s="41" t="s">
        <v>68</v>
      </c>
      <c r="E202" s="48" t="s">
        <v>346</v>
      </c>
      <c r="F202" s="41" t="s">
        <v>748</v>
      </c>
      <c r="G202" s="47" t="s">
        <v>673</v>
      </c>
      <c r="H202" s="47" t="s">
        <v>667</v>
      </c>
    </row>
    <row r="203" spans="1:8" ht="28.8" x14ac:dyDescent="0.3">
      <c r="A203" s="41" t="s">
        <v>656</v>
      </c>
      <c r="B203" s="41" t="s">
        <v>657</v>
      </c>
      <c r="C203" s="41" t="s">
        <v>73</v>
      </c>
      <c r="D203" s="41" t="s">
        <v>74</v>
      </c>
      <c r="E203" s="48" t="s">
        <v>366</v>
      </c>
      <c r="F203" s="41" t="s">
        <v>742</v>
      </c>
      <c r="G203" s="47" t="s">
        <v>673</v>
      </c>
      <c r="H203" s="47" t="s">
        <v>667</v>
      </c>
    </row>
    <row r="204" spans="1:8" ht="28.8" x14ac:dyDescent="0.3">
      <c r="A204" s="41" t="s">
        <v>656</v>
      </c>
      <c r="B204" s="41" t="s">
        <v>657</v>
      </c>
      <c r="C204" s="41" t="s">
        <v>79</v>
      </c>
      <c r="D204" s="41" t="s">
        <v>80</v>
      </c>
      <c r="E204" s="48" t="s">
        <v>346</v>
      </c>
      <c r="F204" s="41" t="s">
        <v>743</v>
      </c>
      <c r="G204" s="47" t="s">
        <v>673</v>
      </c>
      <c r="H204" s="47" t="s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Definitions</vt:lpstr>
      <vt:lpstr>Assumptions</vt:lpstr>
      <vt:lpstr>Industry_Data</vt:lpstr>
      <vt:lpstr>Forecast_Model</vt:lpstr>
      <vt:lpstr>Ranking_Summary</vt:lpstr>
      <vt:lpstr>Sources_Log</vt:lpstr>
      <vt:lpstr>TEL_Notes</vt:lpstr>
      <vt:lpstr>NET_Notes</vt:lpstr>
      <vt:lpstr>SEC_Notes</vt:lpstr>
      <vt:lpstr>SBL_Notes</vt:lpstr>
      <vt:lpstr>DCA_Notes</vt:lpstr>
      <vt:lpstr>ROB_Notes</vt:lpstr>
      <vt:lpstr>CEV_Notes</vt:lpstr>
      <vt:lpstr>Target_Markets_Regions</vt:lpstr>
      <vt:lpstr>Target_Markets_Countries</vt:lpstr>
      <vt:lpstr>Target_Markets_By_Industry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2026-03-21T14:42:04Z</dcterms:created>
  <dcterms:modified xsi:type="dcterms:W3CDTF">2026-03-22T08:08:41Z</dcterms:modified>
</cp:coreProperties>
</file>