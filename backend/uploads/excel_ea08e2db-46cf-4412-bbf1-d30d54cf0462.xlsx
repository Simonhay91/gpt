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dustry_Data" sheetId="4" state="visible" r:id="rId4"/>
    <sheet xmlns:r="http://schemas.openxmlformats.org/officeDocument/2006/relationships" name="Forecast_Model" sheetId="5" state="visible" r:id="rId5"/>
    <sheet xmlns:r="http://schemas.openxmlformats.org/officeDocument/2006/relationships" name="Ranking_Summary" sheetId="6" state="visible" r:id="rId6"/>
    <sheet xmlns:r="http://schemas.openxmlformats.org/officeDocument/2006/relationships" name="Sources_Log" sheetId="7" state="visible" r:id="rId7"/>
    <sheet xmlns:r="http://schemas.openxmlformats.org/officeDocument/2006/relationships" name="TEL_Notes" sheetId="8" state="visible" r:id="rId8"/>
    <sheet xmlns:r="http://schemas.openxmlformats.org/officeDocument/2006/relationships" name="NET_Notes" sheetId="9" state="visible" r:id="rId9"/>
    <sheet xmlns:r="http://schemas.openxmlformats.org/officeDocument/2006/relationships" name="SEC_Notes" sheetId="10" state="visible" r:id="rId10"/>
    <sheet xmlns:r="http://schemas.openxmlformats.org/officeDocument/2006/relationships" name="SBL_Notes" sheetId="11" state="visible" r:id="rId11"/>
    <sheet xmlns:r="http://schemas.openxmlformats.org/officeDocument/2006/relationships" name="DCA_Notes" sheetId="12" state="visible" r:id="rId12"/>
    <sheet xmlns:r="http://schemas.openxmlformats.org/officeDocument/2006/relationships" name="ROB_Notes" sheetId="13" state="visible" r:id="rId13"/>
    <sheet xmlns:r="http://schemas.openxmlformats.org/officeDocument/2006/relationships" name="CEV_Notes" sheetId="14" state="visible" r:id="rId14"/>
    <sheet xmlns:r="http://schemas.openxmlformats.org/officeDocument/2006/relationships" name="Target_Markets_Regions" sheetId="15" state="visible" r:id="rId15"/>
    <sheet xmlns:r="http://schemas.openxmlformats.org/officeDocument/2006/relationships" name="Target_Markets_Countries" sheetId="16" state="visible" r:id="rId16"/>
    <sheet xmlns:r="http://schemas.openxmlformats.org/officeDocument/2006/relationships" name="Target_Markets_By_Industry" sheetId="17" state="visible" r:id="rId17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\(#,##0.0\);\-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11"/>
    </font>
    <font>
      <name val="Calibri"/>
      <color rgb="FF666666"/>
      <sz val="11"/>
    </font>
    <font>
      <name val="Calibri"/>
      <color rgb="FFC65911"/>
      <sz val="11"/>
    </font>
    <font>
      <name val="Calibri"/>
      <color rgb="FF7030A0"/>
      <sz val="11"/>
    </font>
    <font>
      <name val="Calibri"/>
      <b val="1"/>
      <color rgb="FF008080"/>
      <sz val="11"/>
    </font>
    <font>
      <name val="Calibri"/>
      <b val="1"/>
      <sz val="11"/>
    </font>
    <font>
      <name val="Calibri"/>
      <b val="1"/>
      <color rgb="FFC65911"/>
      <sz val="11"/>
    </font>
    <font>
      <name val="Calibri"/>
      <family val="2"/>
      <color theme="10"/>
      <sz val="12"/>
      <scheme val="minor"/>
    </font>
    <font>
      <name val="Calibri"/>
      <color rgb="FF9E480E"/>
      <sz val="11"/>
    </font>
    <font>
      <name val="Calibri"/>
      <color rgb="FF9E480E"/>
      <sz val="11"/>
      <u val="single"/>
    </font>
    <font>
      <name val="Calibri"/>
      <b val="1"/>
      <color rgb="FFFFFFFF"/>
      <sz val="11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9EAF0"/>
      </patternFill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FDA"/>
      </patternFill>
    </fill>
    <fill>
      <patternFill patternType="solid">
        <fgColor rgb="FFE2F0D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3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1" fontId="9" fillId="7" borderId="1" applyAlignment="1" pivotButton="0" quotePrefix="0" xfId="0">
      <alignment wrapText="1"/>
    </xf>
    <xf numFmtId="1" fontId="5" fillId="0" borderId="1" applyAlignment="1" pivotButton="0" quotePrefix="0" xfId="0">
      <alignment wrapText="1"/>
    </xf>
    <xf numFmtId="164" fontId="9" fillId="7" borderId="1" pivotButton="0" quotePrefix="0" xfId="0"/>
    <xf numFmtId="164" fontId="10" fillId="8" borderId="1" pivotButton="0" quotePrefix="0" xfId="0"/>
    <xf numFmtId="0" fontId="6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1" fillId="8" borderId="1" pivotButton="0" quotePrefix="0" xfId="0"/>
    <xf numFmtId="164" fontId="11" fillId="8" borderId="1" pivotButton="0" quotePrefix="0" xfId="0"/>
    <xf numFmtId="0" fontId="11" fillId="5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4" fillId="3" borderId="1" applyAlignment="1" pivotButton="0" quotePrefix="0" xfId="0">
      <alignment wrapText="1"/>
    </xf>
    <xf numFmtId="0" fontId="12" fillId="6" borderId="1" pivotButton="0" quotePrefix="0" xfId="0"/>
    <xf numFmtId="0" fontId="8" fillId="6" borderId="1" applyAlignment="1" pivotButton="0" quotePrefix="0" xfId="0">
      <alignment wrapText="1"/>
    </xf>
    <xf numFmtId="0" fontId="14" fillId="9" borderId="1" pivotButton="0" quotePrefix="0" xfId="0"/>
    <xf numFmtId="0" fontId="0" fillId="9" borderId="1" pivotButton="0" quotePrefix="0" xfId="0"/>
    <xf numFmtId="0" fontId="13" fillId="0" borderId="0" pivotButton="0" quotePrefix="0" xfId="1"/>
    <xf numFmtId="0" fontId="15" fillId="9" borderId="0" pivotButton="0" quotePrefix="0" xfId="1"/>
    <xf numFmtId="1" fontId="9" fillId="7" borderId="1" pivotButton="0" quotePrefix="0" xfId="0"/>
    <xf numFmtId="0" fontId="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5" fillId="9" borderId="0" applyAlignment="1" pivotButton="0" quotePrefix="0" xfId="1">
      <alignment vertical="top" wrapText="1"/>
    </xf>
    <xf numFmtId="0" fontId="16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1" fillId="14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/>
  </cellStyles>
  <dxfs count="1"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Dominance Score by Industry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1"/>
            <showBubbleSize val="1"/>
            <showLeaderLines val="0"/>
          </dLbls>
          <cat>
            <strRef>
              <f>Ranking_Summary!$B$7:$B$13</f>
              <strCache>
                <ptCount val="7"/>
                <pt idx="0">
                  <v>Data Centre &amp; AI Infrastructure</v>
                </pt>
                <pt idx="1">
                  <v>Smart Building &amp; IoT Systems</v>
                </pt>
                <pt idx="2">
                  <v>Robotics &amp; Intelligent Devices</v>
                </pt>
                <pt idx="3">
                  <v>Networking &amp; Data Systems</v>
                </pt>
                <pt idx="4">
                  <v>Security &amp; Surveillance</v>
                </pt>
                <pt idx="5">
                  <v>Telecommunications Infrastructure</v>
                </pt>
                <pt idx="6">
                  <v>Commercial Electronics &amp; Visual Systems</v>
                </pt>
              </strCache>
            </strRef>
          </cat>
          <val>
            <numRef>
              <f>Ranking_Summary!$C$7:$C$13</f>
              <numCache>
                <formatCode>0.0%</formatCode>
                <ptCount val="7"/>
                <pt idx="0">
                  <v>0.872</v>
                </pt>
                <pt idx="1">
                  <v>0.633</v>
                </pt>
                <pt idx="2">
                  <v>0.495</v>
                </pt>
                <pt idx="3">
                  <v>0.48</v>
                </pt>
                <pt idx="4">
                  <v>0.446</v>
                </pt>
                <pt idx="5">
                  <v>0.431</v>
                </pt>
                <pt idx="6">
                  <v>0.365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1"/>
          <showBubbleSize val="1"/>
        </dLbls>
        <gapWidth val="8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Dominance 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Industry</a:t>
                </a:r>
              </a:p>
            </rich>
          </tx>
          <overlay val="1"/>
        </title>
        <numFmt formatCode="0.0%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4" authorId="0" shapeId="0">
      <text>
        <t>Enter the current / base-year market size in $ millions. Keep the geography consistent across industries.</t>
      </text>
    </comment>
    <comment ref="D4" authorId="0" shapeId="0">
      <text>
        <t>Enter the forecast-year market size in $ millions. Use the same forecast year as in Assumptions.</t>
      </text>
    </comment>
    <comment ref="G4" authorId="0" shapeId="0">
      <text>
        <t>Manual score from 1 to 10. 10 = strongest technology momentum.</t>
      </text>
    </comment>
    <comment ref="J4" authorId="0" shapeId="0">
      <text>
        <t>Manual score from 1 to 10. 10 = very intense competition. The model converts this into attractiveness automatically.</t>
      </text>
    </comment>
    <comment ref="U4" authorId="0" shapeId="0">
      <text>
        <t>Paste the best supporting URL for the row. Log all sources in Sources_Log.</t>
      </text>
    </comment>
    <comment ref="C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D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C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D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C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D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C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D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C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D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C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D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C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  <comment ref="D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H2"/>
    </sheetView>
  </sheetViews>
  <sheetFormatPr baseColWidth="8" defaultRowHeight="14.4"/>
  <cols>
    <col width="28" customWidth="1" style="50" min="1" max="1"/>
    <col width="72" customWidth="1" style="50" min="2" max="2"/>
    <col width="22" customWidth="1" style="50" min="3" max="8"/>
  </cols>
  <sheetData>
    <row r="1">
      <c r="A1" s="53" t="inlineStr">
        <is>
          <t>Barev dzez</t>
        </is>
      </c>
    </row>
    <row r="2" ht="20.4" customHeight="1" s="50"/>
    <row r="4" ht="15.6" customHeight="1" s="50">
      <c r="A4" s="1" t="inlineStr">
        <is>
          <t>Purpose</t>
        </is>
      </c>
    </row>
    <row r="5">
      <c r="A5" s="49" t="inlineStr">
        <is>
          <t>Use this workbook to collect evidence across seven strategic industries, compare market size and forecast potential, document PESTLE and Five Forces, and prioritize which domains deserve deeper business-unit audits.</t>
        </is>
      </c>
    </row>
    <row r="6"/>
    <row r="8" ht="15.6" customHeight="1" s="50">
      <c r="A8" s="1" t="inlineStr">
        <is>
          <t>Recommended workflow</t>
        </is>
      </c>
    </row>
    <row r="9">
      <c r="A9" s="49" t="inlineStr">
        <is>
          <t>1. Review or edit industry definitions in the Definitions sheet.</t>
        </is>
      </c>
    </row>
    <row r="10">
      <c r="A10" s="49" t="inlineStr">
        <is>
          <t>2. Review the Assumptions sheet: controls at the top, global trend assumptions at the bottom.</t>
        </is>
      </c>
    </row>
    <row r="11">
      <c r="A11" s="49" t="inlineStr">
        <is>
          <t>3. Record every source in Sources_Log and paste the main URL in Industry_Data.</t>
        </is>
      </c>
    </row>
    <row r="12">
      <c r="A12" s="49" t="inlineStr">
        <is>
          <t>4. Use each industry sheet for narrative notes, demand drivers, PESTLE, Five Forces, risks, and decision comments.</t>
        </is>
      </c>
    </row>
    <row r="13">
      <c r="A13" s="49" t="inlineStr">
        <is>
          <t>5. Review Ranking_Summary to see which industry scores highest based on your weights.</t>
        </is>
      </c>
    </row>
    <row r="14">
      <c r="A14" s="49" t="inlineStr">
        <is>
          <t>6. Adjust weights in Assumptions if your strategic priorities change.</t>
        </is>
      </c>
    </row>
    <row r="16" ht="15.6" customHeight="1" s="50">
      <c r="A16" s="1" t="inlineStr">
        <is>
          <t>Color legend</t>
        </is>
      </c>
    </row>
    <row r="17">
      <c r="A17" s="2" t="inlineStr">
        <is>
          <t>Format</t>
        </is>
      </c>
      <c r="B17" s="2" t="inlineStr">
        <is>
          <t>Meaning</t>
        </is>
      </c>
    </row>
    <row r="18">
      <c r="A18" s="3" t="inlineStr">
        <is>
          <t>Blue text / light blue fill</t>
        </is>
      </c>
      <c r="B18" s="4" t="inlineStr">
        <is>
          <t>Manual inputs and editable assumptions</t>
        </is>
      </c>
    </row>
    <row r="19">
      <c r="A19" s="5" t="inlineStr">
        <is>
          <t>Black text</t>
        </is>
      </c>
      <c r="B19" s="4" t="inlineStr">
        <is>
          <t>Formula / calculated cells</t>
        </is>
      </c>
    </row>
    <row r="20">
      <c r="A20" s="6" t="inlineStr">
        <is>
          <t>Green fill</t>
        </is>
      </c>
      <c r="B20" s="4" t="inlineStr">
        <is>
          <t>Linked / reference cells</t>
        </is>
      </c>
    </row>
    <row r="21">
      <c r="A21" s="7" t="inlineStr">
        <is>
          <t>Gray fill</t>
        </is>
      </c>
      <c r="B21" s="4" t="inlineStr">
        <is>
          <t>Static text or definitions</t>
        </is>
      </c>
    </row>
    <row r="22">
      <c r="A22" s="8" t="inlineStr">
        <is>
          <t>Orange fill</t>
        </is>
      </c>
      <c r="B22" s="4" t="inlineStr">
        <is>
          <t>Review / caution areas</t>
        </is>
      </c>
    </row>
    <row r="23">
      <c r="A23" s="9" t="inlineStr">
        <is>
          <t>Purple fill</t>
        </is>
      </c>
      <c r="B23" s="4" t="inlineStr">
        <is>
          <t>Controls / weights / logic</t>
        </is>
      </c>
    </row>
    <row r="24">
      <c r="A24" s="10" t="inlineStr">
        <is>
          <t>Teal fill</t>
        </is>
      </c>
      <c r="B24" s="4" t="inlineStr">
        <is>
          <t>Summary KPI or key decision cells</t>
        </is>
      </c>
    </row>
    <row r="25">
      <c r="A25" s="36" t="inlineStr">
        <is>
          <t>Yellow fill</t>
        </is>
      </c>
      <c r="B25" s="37" t="inlineStr">
        <is>
          <t>Source-URL paste / manually checked external references</t>
        </is>
      </c>
    </row>
    <row r="27">
      <c r="A27" s="42" t="inlineStr">
        <is>
          <t>New market sheets added</t>
        </is>
      </c>
      <c r="B27" s="41" t="n"/>
    </row>
    <row r="28" ht="28.8" customHeight="1" s="50">
      <c r="A28" s="41" t="inlineStr">
        <is>
          <t>Target_Markets_Regions</t>
        </is>
      </c>
      <c r="B28" s="41" t="inlineStr">
        <is>
          <t>Regional market figures and short PESTLE explanations, based on the Word market logic.</t>
        </is>
      </c>
    </row>
    <row r="29">
      <c r="A29" s="41" t="inlineStr">
        <is>
          <t>Target_Markets_Countries</t>
        </is>
      </c>
      <c r="B29" s="41" t="inlineStr">
        <is>
          <t>Country list with simple market-size and growth outlook for prioritization.</t>
        </is>
      </c>
    </row>
    <row r="30">
      <c r="A30" s="41" t="inlineStr">
        <is>
          <t>Target_Markets_By_Industry</t>
        </is>
      </c>
      <c r="B30" s="41" t="inlineStr">
        <is>
          <t>Country-by-country view of demand level for all 7 industry domains.</t>
        </is>
      </c>
    </row>
  </sheetData>
  <mergeCells count="8">
    <mergeCell ref="A9:H9"/>
    <mergeCell ref="A12:H12"/>
    <mergeCell ref="A10:H10"/>
    <mergeCell ref="A13:H13"/>
    <mergeCell ref="A14:H14"/>
    <mergeCell ref="A11:H11"/>
    <mergeCell ref="A1:H2"/>
    <mergeCell ref="A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topLeftCell="A7" workbookViewId="0">
      <selection activeCell="A1" sqref="A1:F2"/>
    </sheetView>
  </sheetViews>
  <sheetFormatPr baseColWidth="8" defaultRowHeight="14.4"/>
  <cols>
    <col width="10" customWidth="1" style="50" min="1" max="1"/>
    <col width="34" customWidth="1" style="50" min="2" max="2"/>
    <col width="44" customWidth="1" style="50" min="3" max="3"/>
    <col width="36" customWidth="1" style="50" min="4" max="4"/>
    <col width="28" customWidth="1" style="50" min="5" max="5"/>
    <col width="36" customWidth="1" style="50" min="6" max="6"/>
  </cols>
  <sheetData>
    <row r="1">
      <c r="A1" s="51" t="inlineStr">
        <is>
          <t>Industry Definitions</t>
        </is>
      </c>
    </row>
    <row r="2"/>
    <row r="4">
      <c r="A4" s="2" t="inlineStr">
        <is>
          <t>Code</t>
        </is>
      </c>
      <c r="B4" s="2" t="inlineStr">
        <is>
          <t>Industry Name</t>
        </is>
      </c>
      <c r="C4" s="2" t="inlineStr">
        <is>
          <t>Working Definition</t>
        </is>
      </c>
      <c r="D4" s="2" t="inlineStr">
        <is>
          <t>Typical Products / Systems</t>
        </is>
      </c>
      <c r="E4" s="2" t="inlineStr">
        <is>
          <t>Typical Customers</t>
        </is>
      </c>
      <c r="F4" s="2" t="inlineStr">
        <is>
          <t>Strategic Note</t>
        </is>
      </c>
    </row>
    <row r="5" ht="52.05" customHeight="1" s="50">
      <c r="A5" s="11" t="inlineStr">
        <is>
          <t>TEL</t>
        </is>
      </c>
      <c r="B5" s="12" t="inlineStr">
        <is>
          <t>Telecommunications Infrastructure</t>
        </is>
      </c>
      <c r="C5" s="12" t="inlineStr">
        <is>
          <t>Physical and technological systems that enable the transmission of voice, data, and internet services across local, regional, and global communication networks.</t>
        </is>
      </c>
      <c r="D5" s="12" t="inlineStr">
        <is>
          <t>fiber optic cables; ODN/closures/cabinets; passive optical components; PON equipment; transmission systems</t>
        </is>
      </c>
      <c r="E5" s="12" t="inlineStr">
        <is>
          <t>telecom operators; ISPs; infrastructure contractors; system integrators</t>
        </is>
      </c>
      <c r="F5" s="12" t="inlineStr">
        <is>
          <t>Backbone connectivity domain supported by broadband rollout, 5G backhaul, and public network investment.</t>
        </is>
      </c>
    </row>
    <row r="6" ht="52.05" customHeight="1" s="50">
      <c r="A6" s="11" t="inlineStr">
        <is>
          <t>NET</t>
        </is>
      </c>
      <c r="B6" s="12" t="inlineStr">
        <is>
          <t>Networking &amp; Data Systems</t>
        </is>
      </c>
      <c r="C6" s="12" t="inlineStr">
        <is>
          <t>Hardware and software systems that route, distribute, secure, and manage data traffic across enterprise, campus, carrier, and cloud environments.</t>
        </is>
      </c>
      <c r="D6" s="12" t="inlineStr">
        <is>
          <t>switches; routers; wireless access points; firewalls; structured cabling; network management platforms</t>
        </is>
      </c>
      <c r="E6" s="12" t="inlineStr">
        <is>
          <t>enterprises; IT integrators; telecom operators; cloud and service providers</t>
        </is>
      </c>
      <c r="F6" s="12" t="inlineStr">
        <is>
          <t>Benefits from enterprise digitalization, cloud migration, and traffic growth, but rivalry is intense.</t>
        </is>
      </c>
    </row>
    <row r="7" ht="52.05" customHeight="1" s="50">
      <c r="A7" s="11" t="inlineStr">
        <is>
          <t>SEC</t>
        </is>
      </c>
      <c r="B7" s="12" t="inlineStr">
        <is>
          <t>Security &amp; Surveillance</t>
        </is>
      </c>
      <c r="C7" s="12" t="inlineStr">
        <is>
          <t>Technologies used to monitor, control, and protect physical environments, assets, and people through integrated security and surveillance systems.</t>
        </is>
      </c>
      <c r="D7" s="12" t="inlineStr">
        <is>
          <t>CCTV cameras; VMS; NVR/DVR; access control; alarms; perimeter systems</t>
        </is>
      </c>
      <c r="E7" s="12" t="inlineStr">
        <is>
          <t>security integrators; facility operators; government contractors; infrastructure developers</t>
        </is>
      </c>
      <c r="F7" s="12" t="inlineStr">
        <is>
          <t>Demand is shaped by safety budgets, regulation, and rising use of AI-enabled monitoring.</t>
        </is>
      </c>
    </row>
    <row r="8" ht="52.05" customHeight="1" s="50">
      <c r="A8" s="11" t="inlineStr">
        <is>
          <t>SBL</t>
        </is>
      </c>
      <c r="B8" s="12" t="inlineStr">
        <is>
          <t>Smart Building &amp; IoT Systems</t>
        </is>
      </c>
      <c r="C8" s="12" t="inlineStr">
        <is>
          <t>Connected building systems that integrate sensors, controllers, software, and devices to optimize building operations, energy use, communications, and user experience.</t>
        </is>
      </c>
      <c r="D8" s="12" t="inlineStr">
        <is>
          <t>BMS; intercom; access control; IoT sensors; automation controllers; smart office and smart home devices</t>
        </is>
      </c>
      <c r="E8" s="12" t="inlineStr">
        <is>
          <t>developers; EPCs; smart-building integrators; facility managers; real estate owners</t>
        </is>
      </c>
      <c r="F8" s="12" t="inlineStr">
        <is>
          <t>High-growth domain tied to efficiency retrofits, premium real estate, and smart-city investment.</t>
        </is>
      </c>
    </row>
    <row r="9" ht="52.05" customHeight="1" s="50">
      <c r="A9" s="11" t="inlineStr">
        <is>
          <t>DCA</t>
        </is>
      </c>
      <c r="B9" s="12" t="inlineStr">
        <is>
          <t>Data Centre &amp; AI Infrastructure</t>
        </is>
      </c>
      <c r="C9" s="12" t="inlineStr">
        <is>
          <t>High-performance infrastructure used to support cloud, storage, compute, and AI workloads, including dense connectivity, power, and cooling systems.</t>
        </is>
      </c>
      <c r="D9" s="12" t="inlineStr">
        <is>
          <t>high-speed optical interconnects; racks; structured connectivity; power distribution; cooling systems</t>
        </is>
      </c>
      <c r="E9" s="12" t="inlineStr">
        <is>
          <t>hyperscalers; colocation operators; cloud providers; AI infrastructure companies; governments</t>
        </is>
      </c>
      <c r="F9" s="12" t="inlineStr">
        <is>
          <t>Fastest strategic growth cluster, but constrained by power, capital intensity, and technical complexity.</t>
        </is>
      </c>
    </row>
    <row r="10" ht="52.05" customHeight="1" s="50">
      <c r="A10" s="11" t="inlineStr">
        <is>
          <t>ROB</t>
        </is>
      </c>
      <c r="B10" s="12" t="inlineStr">
        <is>
          <t>Robotics &amp; Intelligent Devices</t>
        </is>
      </c>
      <c r="C10" s="12" t="inlineStr">
        <is>
          <t>Automated and AI-enabled machines used to perform physical or service tasks with limited human intervention across commercial, logistics, and operational environments.</t>
        </is>
      </c>
      <c r="D10" s="12" t="inlineStr">
        <is>
          <t>service robots; delivery robots; cleaning robots; warehouse robots; robot control systems; AI sensors</t>
        </is>
      </c>
      <c r="E10" s="12" t="inlineStr">
        <is>
          <t>logistics operators; hospitals; hotels; retailers; automation integrators; industrial users</t>
        </is>
      </c>
      <c r="F10" s="12" t="inlineStr">
        <is>
          <t>High upside from labor shortages and automation, but adoption depends on ROI and integration maturity.</t>
        </is>
      </c>
    </row>
    <row r="11" ht="52.05" customHeight="1" s="50">
      <c r="A11" s="11" t="inlineStr">
        <is>
          <t>CEV</t>
        </is>
      </c>
      <c r="B11" s="12" t="inlineStr">
        <is>
          <t>Commercial Electronics &amp; Visual Systems</t>
        </is>
      </c>
      <c r="C11" s="12" t="inlineStr">
        <is>
          <t>Electronic and display-based systems used in commercial, professional, and public environments for visualization, communication, collaboration, and monitoring.</t>
        </is>
      </c>
      <c r="D11" s="12" t="inlineStr">
        <is>
          <t>commercial displays; video walls; digital signage; control room screens; conferencing systems</t>
        </is>
      </c>
      <c r="E11" s="12" t="inlineStr">
        <is>
          <t>AV integrators; enterprises; retail chains; public facilities; transport hubs; control centers</t>
        </is>
      </c>
      <c r="F11" s="12" t="inlineStr">
        <is>
          <t>Useful adjacent domain, though more capex-cyclical and price-driven than core infrastructure categories.</t>
        </is>
      </c>
    </row>
    <row r="12" ht="52.05" customHeight="1" s="50"/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topLeftCell="A32" workbookViewId="0">
      <selection activeCell="C8" sqref="C8"/>
    </sheetView>
  </sheetViews>
  <sheetFormatPr baseColWidth="8" defaultRowHeight="14.4"/>
  <cols>
    <col width="28" customWidth="1" style="50" min="1" max="1"/>
    <col width="14" customWidth="1" style="50" min="2" max="2"/>
    <col width="17.88671875" customWidth="1" style="50" min="3" max="3"/>
    <col width="18" customWidth="1" style="50" min="4" max="4"/>
    <col width="20" customWidth="1" style="50" min="5" max="7"/>
  </cols>
  <sheetData>
    <row r="1">
      <c r="A1" s="51" t="inlineStr">
        <is>
          <t>Model Controls, Years, and Weighting</t>
        </is>
      </c>
    </row>
    <row r="2"/>
    <row r="4">
      <c r="A4" s="2" t="inlineStr">
        <is>
          <t>Control</t>
        </is>
      </c>
      <c r="B4" s="2" t="inlineStr">
        <is>
          <t>Value</t>
        </is>
      </c>
      <c r="C4" s="2" t="inlineStr">
        <is>
          <t>Note</t>
        </is>
      </c>
      <c r="E4" s="2" t="inlineStr">
        <is>
          <t>Score</t>
        </is>
      </c>
      <c r="F4" s="2" t="inlineStr">
        <is>
          <t>Guide</t>
        </is>
      </c>
      <c r="G4" s="2" t="inlineStr">
        <is>
          <t>Use for</t>
        </is>
      </c>
    </row>
    <row r="5" ht="43.2" customHeight="1" s="50">
      <c r="A5" s="13" t="inlineStr">
        <is>
          <t>Base Year</t>
        </is>
      </c>
      <c r="B5" s="14" t="n">
        <v>2025</v>
      </c>
      <c r="C5" s="13" t="inlineStr">
        <is>
          <t>Edit if your study uses a different current year</t>
        </is>
      </c>
      <c r="D5" s="13" t="n"/>
      <c r="E5" s="13" t="n">
        <v>1</v>
      </c>
      <c r="F5" s="13" t="inlineStr">
        <is>
          <t>Very weak / unfavorable</t>
        </is>
      </c>
      <c r="G5" s="13" t="inlineStr">
        <is>
          <t>Qualitative scores in Industry_Data</t>
        </is>
      </c>
    </row>
    <row r="6" ht="28.8" customHeight="1" s="50">
      <c r="A6" s="13" t="inlineStr">
        <is>
          <t>Forecast Year</t>
        </is>
      </c>
      <c r="B6" s="14" t="n">
        <v>2030</v>
      </c>
      <c r="C6" s="13" t="inlineStr">
        <is>
          <t>Edit if your horizon changes</t>
        </is>
      </c>
      <c r="D6" s="13" t="n"/>
      <c r="E6" s="13" t="n">
        <v>5</v>
      </c>
      <c r="F6" s="13" t="inlineStr">
        <is>
          <t>Average / mixed</t>
        </is>
      </c>
      <c r="G6" s="13" t="inlineStr">
        <is>
          <t>Qualitative scores in Industry_Data</t>
        </is>
      </c>
    </row>
    <row r="7" ht="28.8" customHeight="1" s="50">
      <c r="A7" s="13" t="inlineStr">
        <is>
          <t>Forecast Period (years)</t>
        </is>
      </c>
      <c r="B7" s="15">
        <f>B6-B5</f>
        <v/>
      </c>
      <c r="C7" s="13" t="inlineStr">
        <is>
          <t>Calculated</t>
        </is>
      </c>
      <c r="D7" s="13" t="n"/>
      <c r="E7" s="13" t="n">
        <v>10</v>
      </c>
      <c r="F7" s="13" t="inlineStr">
        <is>
          <t>Very strong / favorable</t>
        </is>
      </c>
      <c r="G7" s="13" t="inlineStr">
        <is>
          <t>Qualitative scores in Industry_Data</t>
        </is>
      </c>
    </row>
    <row r="9">
      <c r="A9" s="2" t="inlineStr">
        <is>
          <t>Scoring Component</t>
        </is>
      </c>
      <c r="B9" s="2" t="inlineStr">
        <is>
          <t>Weight</t>
        </is>
      </c>
      <c r="C9" s="2" t="inlineStr">
        <is>
          <t>How to read it</t>
        </is>
      </c>
    </row>
    <row r="10" ht="57.6" customHeight="1" s="50">
      <c r="A10" s="4" t="inlineStr">
        <is>
          <t>Current market size</t>
        </is>
      </c>
      <c r="B10" s="16" t="n">
        <v>0.15</v>
      </c>
      <c r="C10" s="13" t="inlineStr">
        <is>
          <t>Larger current market increases dominance potential</t>
        </is>
      </c>
    </row>
    <row r="11" ht="57.6" customHeight="1" s="50">
      <c r="A11" s="4" t="inlineStr">
        <is>
          <t>Forecast market size</t>
        </is>
      </c>
      <c r="B11" s="16" t="n">
        <v>0.2</v>
      </c>
      <c r="C11" s="13" t="inlineStr">
        <is>
          <t>Larger end-state market increases dominance potential</t>
        </is>
      </c>
    </row>
    <row r="12" ht="57.6" customHeight="1" s="50">
      <c r="A12" s="4" t="inlineStr">
        <is>
          <t>CAGR</t>
        </is>
      </c>
      <c r="B12" s="16" t="n">
        <v>0.2</v>
      </c>
      <c r="C12" s="13" t="inlineStr">
        <is>
          <t>Higher growth rate increases future dominance potential</t>
        </is>
      </c>
    </row>
    <row r="13" ht="28.8" customHeight="1" s="50">
      <c r="A13" s="4" t="inlineStr">
        <is>
          <t>Technology momentum</t>
        </is>
      </c>
      <c r="B13" s="16" t="n">
        <v>0.1</v>
      </c>
      <c r="C13" s="13" t="inlineStr">
        <is>
          <t>1-10 score entered by user</t>
        </is>
      </c>
    </row>
    <row r="14" ht="28.8" customHeight="1" s="50">
      <c r="A14" s="4" t="inlineStr">
        <is>
          <t>Regional opportunity</t>
        </is>
      </c>
      <c r="B14" s="16" t="n">
        <v>0.1</v>
      </c>
      <c r="C14" s="13" t="inlineStr">
        <is>
          <t>1-10 score based on target markets</t>
        </is>
      </c>
    </row>
    <row r="15" ht="43.2" customHeight="1" s="50">
      <c r="A15" s="4" t="inlineStr">
        <is>
          <t>Strategic fit</t>
        </is>
      </c>
      <c r="B15" s="16" t="n">
        <v>0.1</v>
      </c>
      <c r="C15" s="13" t="inlineStr">
        <is>
          <t>1-10 score based on your business fit</t>
        </is>
      </c>
    </row>
    <row r="16" ht="57.6" customHeight="1" s="50">
      <c r="A16" s="4" t="inlineStr">
        <is>
          <t>Competition attractiveness</t>
        </is>
      </c>
      <c r="B16" s="16" t="n">
        <v>0.075</v>
      </c>
      <c r="C16" s="13" t="inlineStr">
        <is>
          <t>Derived from competitive intensity (lower rivalry is better)</t>
        </is>
      </c>
    </row>
    <row r="17" ht="28.8" customHeight="1" s="50">
      <c r="A17" s="4" t="inlineStr">
        <is>
          <t>Regulatory favorability</t>
        </is>
      </c>
      <c r="B17" s="16" t="n">
        <v>0.075</v>
      </c>
      <c r="C17" s="13" t="inlineStr">
        <is>
          <t>1-10 score entered by user</t>
        </is>
      </c>
    </row>
    <row r="18">
      <c r="A18" s="4" t="inlineStr">
        <is>
          <t>Weight check</t>
        </is>
      </c>
      <c r="B18" s="17">
        <f>SUM(B10:B17)</f>
        <v/>
      </c>
      <c r="C18" s="4" t="inlineStr">
        <is>
          <t>Should equal 100.0%</t>
        </is>
      </c>
    </row>
    <row r="21" ht="28.8" customHeight="1" s="50">
      <c r="A21" s="2" t="inlineStr">
        <is>
          <t>Bucket</t>
        </is>
      </c>
      <c r="B21" s="2" t="inlineStr">
        <is>
          <t>Minimum Score</t>
        </is>
      </c>
      <c r="C21" s="2" t="inlineStr">
        <is>
          <t>Interpretation</t>
        </is>
      </c>
    </row>
    <row r="22">
      <c r="A22" s="4" t="inlineStr">
        <is>
          <t>Dominant Potential</t>
        </is>
      </c>
      <c r="B22" s="16" t="n">
        <v>0.75</v>
      </c>
      <c r="C22" s="4" t="inlineStr">
        <is>
          <t>Likely strategic priority if evidence confirms</t>
        </is>
      </c>
    </row>
    <row r="23">
      <c r="A23" s="4" t="inlineStr">
        <is>
          <t>Strong Candidate</t>
        </is>
      </c>
      <c r="B23" s="16" t="n">
        <v>0.6</v>
      </c>
      <c r="C23" s="4" t="inlineStr">
        <is>
          <t>Promising and worth deeper analysis</t>
        </is>
      </c>
    </row>
    <row r="24">
      <c r="A24" s="4" t="inlineStr">
        <is>
          <t>Watchlist</t>
        </is>
      </c>
      <c r="B24" s="16" t="n">
        <v>0.45</v>
      </c>
      <c r="C24" s="4" t="inlineStr">
        <is>
          <t>Monitor or study further</t>
        </is>
      </c>
    </row>
    <row r="25">
      <c r="A25" s="4" t="inlineStr">
        <is>
          <t>Emerging / Niche</t>
        </is>
      </c>
      <c r="B25" s="16" t="n">
        <v>0</v>
      </c>
      <c r="C25" s="4" t="inlineStr">
        <is>
          <t>Potential but not yet dominant</t>
        </is>
      </c>
    </row>
    <row r="28" ht="28.8" customHeight="1" s="50">
      <c r="A28" s="2" t="inlineStr">
        <is>
          <t>Global Trend Assumption</t>
        </is>
      </c>
      <c r="B28" s="2" t="inlineStr">
        <is>
          <t>Importance (1-10)</t>
        </is>
      </c>
      <c r="C28" s="2" t="inlineStr">
        <is>
          <t>Why it matters</t>
        </is>
      </c>
      <c r="D28" s="2" t="inlineStr">
        <is>
          <t>Main source URL</t>
        </is>
      </c>
    </row>
    <row r="29" ht="72" customHeight="1" s="50">
      <c r="A29" s="4" t="inlineStr">
        <is>
          <t>AI data-centre buildout</t>
        </is>
      </c>
      <c r="B29" s="40" t="n">
        <v>10</v>
      </c>
      <c r="C29" s="13" t="inlineStr">
        <is>
          <t>Pushes demand for dense optics, power, cooling, and advanced networking.</t>
        </is>
      </c>
      <c r="D29" s="38" t="inlineStr">
        <is>
          <t>https://www.iea.org/reports/energy-and-ai/energy-demand-from-ai</t>
        </is>
      </c>
    </row>
    <row r="30" ht="72" customHeight="1" s="50">
      <c r="A30" s="4" t="inlineStr">
        <is>
          <t>Broadband + 5G traffic growth</t>
        </is>
      </c>
      <c r="B30" s="40" t="n">
        <v>9</v>
      </c>
      <c r="C30" s="13" t="inlineStr">
        <is>
          <t>Supports fiber rollout, access upgrades, and core/edge capacity expansion.</t>
        </is>
      </c>
      <c r="D30" s="38" t="inlineStr">
        <is>
          <t>https://www.ericsson.com/en/reports-and-papers/mobility-report/dataforecasts/mobile-traffic-forecast</t>
        </is>
      </c>
    </row>
    <row r="31" ht="57.6" customHeight="1" s="50">
      <c r="A31" s="4" t="inlineStr">
        <is>
          <t>Security and critical-infrastructure protection</t>
        </is>
      </c>
      <c r="B31" s="40" t="n">
        <v>8</v>
      </c>
      <c r="C31" s="13" t="inlineStr">
        <is>
          <t>Sustains spending on surveillance, access control, and resilient site security.</t>
        </is>
      </c>
      <c r="D31" s="38" t="inlineStr">
        <is>
          <t>https://www.marketsandmarkets.com/Market-Reports/physical-security-market-1014.html</t>
        </is>
      </c>
    </row>
    <row r="32" ht="57.6" customHeight="1" s="50">
      <c r="A32" s="4" t="inlineStr">
        <is>
          <t>Energy-efficiency retrofit pressure</t>
        </is>
      </c>
      <c r="B32" s="40" t="n">
        <v>8</v>
      </c>
      <c r="C32" s="13" t="inlineStr">
        <is>
          <t>Accelerates smart-building controls, BMS, and building IoT upgrades.</t>
        </is>
      </c>
      <c r="D32" s="38" t="inlineStr">
        <is>
          <t>https://www.grandviewresearch.com/industry-analysis/global-smart-buildings-market</t>
        </is>
      </c>
    </row>
    <row r="33" ht="86.40000000000001" customHeight="1" s="50">
      <c r="A33" s="4" t="inlineStr">
        <is>
          <t>Supply-chain diversification and vendor restrictions</t>
        </is>
      </c>
      <c r="B33" s="40" t="n">
        <v>8</v>
      </c>
      <c r="C33" s="13" t="inlineStr">
        <is>
          <t>Raises sourcing complexity but creates openings for OEM, platform, and regional distribution models.</t>
        </is>
      </c>
      <c r="D33" s="38" t="inlineStr">
        <is>
          <t>https://www.pwc.com/us/en/industries/tmt/library/geo-economic-shifts-in-tech-and-telecom.html</t>
        </is>
      </c>
    </row>
    <row r="34" ht="57.6" customHeight="1" s="50">
      <c r="A34" s="4" t="inlineStr">
        <is>
          <t>Labor shortages and automation economics</t>
        </is>
      </c>
      <c r="B34" s="40" t="n">
        <v>7</v>
      </c>
      <c r="C34" s="13" t="inlineStr">
        <is>
          <t>Improves the business case for robotics and intelligent devices.</t>
        </is>
      </c>
      <c r="D34" s="38" t="inlineStr">
        <is>
          <t>https://ifr.org/ifr-press-releases/news/global-robot-demand-in-factories-doubles-over-10-years</t>
        </is>
      </c>
    </row>
    <row r="35" ht="57.6" customHeight="1" s="50">
      <c r="A35" s="4" t="inlineStr">
        <is>
          <t>Smart retail / public-space modernization</t>
        </is>
      </c>
      <c r="B35" s="40" t="n">
        <v>6</v>
      </c>
      <c r="C35" s="13" t="inlineStr">
        <is>
          <t>Supports demand for signage, displays, and commercial AV systems.</t>
        </is>
      </c>
      <c r="D35" s="38" t="inlineStr">
        <is>
          <t>https://www.grandviewresearch.com/industry-analysis/commercial-display-market</t>
        </is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topLeftCell="F1" workbookViewId="0">
      <selection activeCell="A1" sqref="A1:U2"/>
    </sheetView>
  </sheetViews>
  <sheetFormatPr baseColWidth="8" defaultRowHeight="14.4"/>
  <cols>
    <col width="8" customWidth="1" style="50" min="1" max="1"/>
    <col width="34" customWidth="1" style="50" min="2" max="2"/>
    <col width="16" customWidth="1" style="50" min="3" max="4"/>
    <col width="11" customWidth="1" style="50" min="5" max="5"/>
    <col width="15" customWidth="1" style="50" min="6" max="6"/>
    <col width="12" customWidth="1" style="50" min="7" max="10"/>
    <col width="14" customWidth="1" style="50" min="11" max="11"/>
    <col width="12" customWidth="1" style="50" min="12" max="13"/>
    <col width="11" customWidth="1" style="50" min="14" max="14"/>
    <col width="12" customWidth="1" style="50" min="15" max="15"/>
    <col width="8" customWidth="1" style="50" min="16" max="16"/>
    <col width="18" customWidth="1" style="50" min="17" max="17"/>
    <col width="28" customWidth="1" style="50" min="18" max="19"/>
    <col width="22" customWidth="1" style="50" min="20" max="20"/>
    <col width="28" customWidth="1" style="50" min="21" max="21"/>
  </cols>
  <sheetData>
    <row r="1">
      <c r="A1" s="51" t="inlineStr">
        <is>
          <t>Industry Data Entry and Auto-Scoring</t>
        </is>
      </c>
    </row>
    <row r="2"/>
    <row r="4" ht="43.2" customHeight="1" s="50">
      <c r="A4" s="2" t="inlineStr">
        <is>
          <t>Code</t>
        </is>
      </c>
      <c r="B4" s="2" t="inlineStr">
        <is>
          <t>Industry</t>
        </is>
      </c>
      <c r="C4" s="2" t="inlineStr">
        <is>
          <t>Current Market Size
($m)</t>
        </is>
      </c>
      <c r="D4" s="2" t="inlineStr">
        <is>
          <t>Forecast Market Size
($m)</t>
        </is>
      </c>
      <c r="E4" s="2" t="inlineStr">
        <is>
          <t>CAGR</t>
        </is>
      </c>
      <c r="F4" s="2" t="inlineStr">
        <is>
          <t>Absolute Growth
($m)</t>
        </is>
      </c>
      <c r="G4" s="2" t="inlineStr">
        <is>
          <t>Technology
Momentum
(1-10)</t>
        </is>
      </c>
      <c r="H4" s="2" t="inlineStr">
        <is>
          <t>Regional
Opportunity
(1-10)</t>
        </is>
      </c>
      <c r="I4" s="2" t="inlineStr">
        <is>
          <t>Strategic Fit
(1-10)</t>
        </is>
      </c>
      <c r="J4" s="2" t="inlineStr">
        <is>
          <t>Competitive
Intensity
(1-10)</t>
        </is>
      </c>
      <c r="K4" s="2" t="inlineStr">
        <is>
          <t>Competition
Attractiveness</t>
        </is>
      </c>
      <c r="L4" s="2" t="inlineStr">
        <is>
          <t>Regulatory
Favorability
(1-10)</t>
        </is>
      </c>
      <c r="M4" s="2" t="inlineStr">
        <is>
          <t>Data
Completeness</t>
        </is>
      </c>
      <c r="N4" s="2" t="inlineStr">
        <is>
          <t>Data
Confidence
(1-5)</t>
        </is>
      </c>
      <c r="O4" s="2" t="inlineStr">
        <is>
          <t>Dominance
Score</t>
        </is>
      </c>
      <c r="P4" s="2" t="inlineStr">
        <is>
          <t>Rank</t>
        </is>
      </c>
      <c r="Q4" s="2" t="inlineStr">
        <is>
          <t>Bucket</t>
        </is>
      </c>
      <c r="R4" s="2" t="inlineStr">
        <is>
          <t>Key Forecast Comment</t>
        </is>
      </c>
      <c r="S4" s="2" t="inlineStr">
        <is>
          <t>Risks / Constraints</t>
        </is>
      </c>
      <c r="T4" s="2" t="inlineStr">
        <is>
          <t>Priority Actions</t>
        </is>
      </c>
      <c r="U4" s="2" t="inlineStr">
        <is>
          <t>Main Source URL</t>
        </is>
      </c>
    </row>
    <row r="5" ht="42" customHeight="1" s="50">
      <c r="A5" s="11" t="inlineStr">
        <is>
          <t>TEL</t>
        </is>
      </c>
      <c r="B5" s="18" t="inlineStr">
        <is>
          <t>Telecommunications Infrastructure</t>
        </is>
      </c>
      <c r="C5" s="19" t="n">
        <v>36.69</v>
      </c>
      <c r="D5" s="19" t="n">
        <v>58.65</v>
      </c>
      <c r="E5" s="20">
        <f>IF(AND(C5&gt;0,D5&gt;0,Assumptions!$B$7&gt;0),(D5/C5)^(1/Assumptions!$B$7)-1,"")</f>
        <v/>
      </c>
      <c r="F5" s="21">
        <f>IF(AND(C5&lt;&gt;"",D5&lt;&gt;""),D5-C5,"")</f>
        <v/>
      </c>
      <c r="G5" s="22" t="n">
        <v>8</v>
      </c>
      <c r="H5" s="22" t="n">
        <v>8</v>
      </c>
      <c r="I5" s="22" t="n">
        <v>9</v>
      </c>
      <c r="J5" s="22" t="n">
        <v>8</v>
      </c>
      <c r="K5" s="20">
        <f>IF(J5="","",1-(J5-1)/9)</f>
        <v/>
      </c>
      <c r="L5" s="22" t="n">
        <v>7</v>
      </c>
      <c r="M5" s="20">
        <f>COUNT(C5,D5,G5,H5,I5,J5,L5)/7</f>
        <v/>
      </c>
      <c r="N5" s="22" t="n">
        <v>4</v>
      </c>
      <c r="O5" s="20">
        <f>IF(COUNT(C5,D5,G5,H5,I5,J5,L5)=0,"",(IF(MAX($C$5:$C$11)&gt;0,C5/MAX($C$5:$C$11),0)*Assumptions!$B$10+IF(MAX($D$5:$D$11)&gt;0,D5/MAX($D$5:$D$11),0)*Assumptions!$B$11+IF(MAX($E$5:$E$11)&gt;0,E5/MAX($E$5:$E$11),0)*Assumptions!$B$12+IF(G5&lt;&gt;"",G5/10,0)*Assumptions!$B$13+IF(H5&lt;&gt;"",H5/10,0)*Assumptions!$B$14+IF(I5&lt;&gt;"",I5/10,0)*Assumptions!$B$15+IF(K5&lt;&gt;"",K5,0)*Assumptions!$B$16+IF(L5&lt;&gt;"",L5/10,0)*Assumptions!$B$17)*M5)</f>
        <v/>
      </c>
      <c r="P5" s="23">
        <f>IF(O5="","",RANK(O5,$O$5:$O$11,0)+COUNTIF($O$5:O5,O5)-1)</f>
        <v/>
      </c>
      <c r="Q5" s="12">
        <f>IF(O5="","",IF(O5&gt;=Assumptions!$B$22,Assumptions!$A$22,IF(O5&gt;=Assumptions!$B$23,Assumptions!$A$23,IF(O5&gt;=Assumptions!$B$24,Assumptions!$A$24,Assumptions!$A$25))))</f>
        <v/>
      </c>
      <c r="R5" s="24" t="inlineStr">
        <is>
          <t>Optics growth is supported by AI interconnect demand, 5G backhaul, and FTTH expansion.</t>
        </is>
      </c>
      <c r="S5" s="24" t="inlineStr">
        <is>
          <t>Carrier capex cycles and vendor restrictions can delay programs.</t>
        </is>
      </c>
      <c r="T5" s="24" t="inlineStr">
        <is>
          <t>Prioritize passive + active fiber ecosystem, OEM sourcing, and ISP channels.</t>
        </is>
      </c>
      <c r="U5" s="39" t="inlineStr">
        <is>
          <t>https://www.marketsandmarkets.com/PressReleases/fiber-optic-component.asp</t>
        </is>
      </c>
    </row>
    <row r="6" ht="42" customHeight="1" s="50">
      <c r="A6" s="11" t="inlineStr">
        <is>
          <t>NET</t>
        </is>
      </c>
      <c r="B6" s="18" t="inlineStr">
        <is>
          <t>Networking &amp; Data Systems</t>
        </is>
      </c>
      <c r="C6" s="19" t="n">
        <v>124.59</v>
      </c>
      <c r="D6" s="19" t="n">
        <v>193.77</v>
      </c>
      <c r="E6" s="20">
        <f>IF(AND(C6&gt;0,D6&gt;0,Assumptions!$B$7&gt;0),(D6/C6)^(1/Assumptions!$B$7)-1,"")</f>
        <v/>
      </c>
      <c r="F6" s="21">
        <f>IF(AND(C6&lt;&gt;"",D6&lt;&gt;""),D6-C6,"")</f>
        <v/>
      </c>
      <c r="G6" s="22" t="n">
        <v>8</v>
      </c>
      <c r="H6" s="22" t="n">
        <v>8</v>
      </c>
      <c r="I6" s="22" t="n">
        <v>8</v>
      </c>
      <c r="J6" s="22" t="n">
        <v>8</v>
      </c>
      <c r="K6" s="20">
        <f>IF(J6="","",1-(J6-1)/9)</f>
        <v/>
      </c>
      <c r="L6" s="22" t="n">
        <v>7</v>
      </c>
      <c r="M6" s="20">
        <f>COUNT(C6,D6,G6,H6,I6,J6,L6)/7</f>
        <v/>
      </c>
      <c r="N6" s="22" t="n">
        <v>4</v>
      </c>
      <c r="O6" s="20">
        <f>IF(COUNT(C6,D6,G6,H6,I6,J6,L6)=0,"",(IF(MAX($C$5:$C$11)&gt;0,C6/MAX($C$5:$C$11),0)*Assumptions!$B$10+IF(MAX($D$5:$D$11)&gt;0,D6/MAX($D$5:$D$11),0)*Assumptions!$B$11+IF(MAX($E$5:$E$11)&gt;0,E6/MAX($E$5:$E$11),0)*Assumptions!$B$12+IF(G6&lt;&gt;"",G6/10,0)*Assumptions!$B$13+IF(H6&lt;&gt;"",H6/10,0)*Assumptions!$B$14+IF(I6&lt;&gt;"",I6/10,0)*Assumptions!$B$15+IF(K6&lt;&gt;"",K6,0)*Assumptions!$B$16+IF(L6&lt;&gt;"",L6/10,0)*Assumptions!$B$17)*M6)</f>
        <v/>
      </c>
      <c r="P6" s="23">
        <f>IF(O6="","",RANK(O6,$O$5:$O$11,0)+COUNTIF($O$5:O6,O6)-1)</f>
        <v/>
      </c>
      <c r="Q6" s="12">
        <f>IF(O6="","",IF(O6&gt;=Assumptions!$B$22,Assumptions!$A$22,IF(O6&gt;=Assumptions!$B$23,Assumptions!$A$23,IF(O6&gt;=Assumptions!$B$24,Assumptions!$A$24,Assumptions!$A$25))))</f>
        <v/>
      </c>
      <c r="R6" s="24" t="inlineStr">
        <is>
          <t>Cloud migration, wireless upgrades, and secure enterprise architectures keep demand resilient.</t>
        </is>
      </c>
      <c r="S6" s="24" t="inlineStr">
        <is>
          <t>High rivalry, fast refresh cycles, and incumbent vendor lock-in compress margins.</t>
        </is>
      </c>
      <c r="T6" s="24" t="inlineStr">
        <is>
          <t>Focus on value-added distribution, bundled security/networking, and mid-market integration.</t>
        </is>
      </c>
      <c r="U6" s="39" t="inlineStr">
        <is>
          <t>https://www.marketsandmarkets.com/PressReleases/enterprise-networking.asp</t>
        </is>
      </c>
    </row>
    <row r="7" ht="42" customHeight="1" s="50">
      <c r="A7" s="11" t="inlineStr">
        <is>
          <t>SEC</t>
        </is>
      </c>
      <c r="B7" s="18" t="inlineStr">
        <is>
          <t>Security &amp; Surveillance</t>
        </is>
      </c>
      <c r="C7" s="19" t="n">
        <v>120.79</v>
      </c>
      <c r="D7" s="19" t="n">
        <v>151.5</v>
      </c>
      <c r="E7" s="20">
        <f>IF(AND(C7&gt;0,D7&gt;0,Assumptions!$B$7&gt;0),(D7/C7)^(1/Assumptions!$B$7)-1,"")</f>
        <v/>
      </c>
      <c r="F7" s="21">
        <f>IF(AND(C7&lt;&gt;"",D7&lt;&gt;""),D7-C7,"")</f>
        <v/>
      </c>
      <c r="G7" s="22" t="n">
        <v>8</v>
      </c>
      <c r="H7" s="22" t="n">
        <v>8</v>
      </c>
      <c r="I7" s="22" t="n">
        <v>8</v>
      </c>
      <c r="J7" s="22" t="n">
        <v>7</v>
      </c>
      <c r="K7" s="20">
        <f>IF(J7="","",1-(J7-1)/9)</f>
        <v/>
      </c>
      <c r="L7" s="22" t="n">
        <v>8</v>
      </c>
      <c r="M7" s="20">
        <f>COUNT(C7,D7,G7,H7,I7,J7,L7)/7</f>
        <v/>
      </c>
      <c r="N7" s="22" t="n">
        <v>4</v>
      </c>
      <c r="O7" s="20">
        <f>IF(COUNT(C7,D7,G7,H7,I7,J7,L7)=0,"",(IF(MAX($C$5:$C$11)&gt;0,C7/MAX($C$5:$C$11),0)*Assumptions!$B$10+IF(MAX($D$5:$D$11)&gt;0,D7/MAX($D$5:$D$11),0)*Assumptions!$B$11+IF(MAX($E$5:$E$11)&gt;0,E7/MAX($E$5:$E$11),0)*Assumptions!$B$12+IF(G7&lt;&gt;"",G7/10,0)*Assumptions!$B$13+IF(H7&lt;&gt;"",H7/10,0)*Assumptions!$B$14+IF(I7&lt;&gt;"",I7/10,0)*Assumptions!$B$15+IF(K7&lt;&gt;"",K7,0)*Assumptions!$B$16+IF(L7&lt;&gt;"",L7/10,0)*Assumptions!$B$17)*M7)</f>
        <v/>
      </c>
      <c r="P7" s="23">
        <f>IF(O7="","",RANK(O7,$O$5:$O$11,0)+COUNTIF($O$5:O7,O7)-1)</f>
        <v/>
      </c>
      <c r="Q7" s="12">
        <f>IF(O7="","",IF(O7&gt;=Assumptions!$B$22,Assumptions!$A$22,IF(O7&gt;=Assumptions!$B$23,Assumptions!$A$23,IF(O7&gt;=Assumptions!$B$24,Assumptions!$A$24,Assumptions!$A$25))))</f>
        <v/>
      </c>
      <c r="R7" s="24" t="inlineStr">
        <is>
          <t>Security budgets remain stable and AI analytics expand use cases beyond basic monitoring.</t>
        </is>
      </c>
      <c r="S7" s="24" t="inlineStr">
        <is>
          <t>Privacy regulation, cybersecurity requirements, and price pressure on hardware.</t>
        </is>
      </c>
      <c r="T7" s="24" t="inlineStr">
        <is>
          <t>Build bundled camera + access + analytics offers and focus on regulated verticals.</t>
        </is>
      </c>
      <c r="U7" s="39" t="inlineStr">
        <is>
          <t>https://www.marketsandmarkets.com/Market-Reports/physical-security-market-1014.html</t>
        </is>
      </c>
    </row>
    <row r="8" ht="42" customHeight="1" s="50">
      <c r="A8" s="11" t="inlineStr">
        <is>
          <t>SBL</t>
        </is>
      </c>
      <c r="B8" s="18" t="inlineStr">
        <is>
          <t>Smart Building &amp; IoT Systems</t>
        </is>
      </c>
      <c r="C8" s="19" t="n">
        <v>141.79</v>
      </c>
      <c r="D8" s="19" t="n">
        <v>336.94</v>
      </c>
      <c r="E8" s="20">
        <f>IF(AND(C8&gt;0,D8&gt;0,Assumptions!$B$7&gt;0),(D8/C8)^(1/Assumptions!$B$7)-1,"")</f>
        <v/>
      </c>
      <c r="F8" s="21">
        <f>IF(AND(C8&lt;&gt;"",D8&lt;&gt;""),D8-C8,"")</f>
        <v/>
      </c>
      <c r="G8" s="22" t="n">
        <v>9</v>
      </c>
      <c r="H8" s="22" t="n">
        <v>8</v>
      </c>
      <c r="I8" s="22" t="n">
        <v>8</v>
      </c>
      <c r="J8" s="22" t="n">
        <v>6</v>
      </c>
      <c r="K8" s="20">
        <f>IF(J8="","",1-(J8-1)/9)</f>
        <v/>
      </c>
      <c r="L8" s="22" t="n">
        <v>8</v>
      </c>
      <c r="M8" s="20">
        <f>COUNT(C8,D8,G8,H8,I8,J8,L8)/7</f>
        <v/>
      </c>
      <c r="N8" s="22" t="n">
        <v>3</v>
      </c>
      <c r="O8" s="20">
        <f>IF(COUNT(C8,D8,G8,H8,I8,J8,L8)=0,"",(IF(MAX($C$5:$C$11)&gt;0,C8/MAX($C$5:$C$11),0)*Assumptions!$B$10+IF(MAX($D$5:$D$11)&gt;0,D8/MAX($D$5:$D$11),0)*Assumptions!$B$11+IF(MAX($E$5:$E$11)&gt;0,E8/MAX($E$5:$E$11),0)*Assumptions!$B$12+IF(G8&lt;&gt;"",G8/10,0)*Assumptions!$B$13+IF(H8&lt;&gt;"",H8/10,0)*Assumptions!$B$14+IF(I8&lt;&gt;"",I8/10,0)*Assumptions!$B$15+IF(K8&lt;&gt;"",K8,0)*Assumptions!$B$16+IF(L8&lt;&gt;"",L8/10,0)*Assumptions!$B$17)*M8)</f>
        <v/>
      </c>
      <c r="P8" s="23">
        <f>IF(O8="","",RANK(O8,$O$5:$O$11,0)+COUNTIF($O$5:O8,O8)-1)</f>
        <v/>
      </c>
      <c r="Q8" s="12">
        <f>IF(O8="","",IF(O8&gt;=Assumptions!$B$22,Assumptions!$A$22,IF(O8&gt;=Assumptions!$B$23,Assumptions!$A$23,IF(O8&gt;=Assumptions!$B$24,Assumptions!$A$24,Assumptions!$A$25))))</f>
        <v/>
      </c>
      <c r="R8" s="24" t="inlineStr">
        <is>
          <t>2030 value is estimated from 2025 market size and reported CAGR; retrofits and IoT integration are strong drivers.</t>
        </is>
      </c>
      <c r="S8" s="24" t="inlineStr">
        <is>
          <t>Fragmented standards, project complexity, and long building-investment cycles.</t>
        </is>
      </c>
      <c r="T8" s="24" t="inlineStr">
        <is>
          <t>Position around low-current systems, interoperability, and energy-efficiency retrofits.</t>
        </is>
      </c>
      <c r="U8" s="39" t="inlineStr">
        <is>
          <t>https://www.grandviewresearch.com/industry-analysis/global-smart-buildings-market</t>
        </is>
      </c>
    </row>
    <row r="9" ht="42" customHeight="1" s="50">
      <c r="A9" s="11" t="inlineStr">
        <is>
          <t>DCA</t>
        </is>
      </c>
      <c r="B9" s="18" t="inlineStr">
        <is>
          <t>Data Centre &amp; AI Infrastructure</t>
        </is>
      </c>
      <c r="C9" s="19" t="n">
        <v>356.7</v>
      </c>
      <c r="D9" s="19" t="n">
        <v>1010</v>
      </c>
      <c r="E9" s="20">
        <f>IF(AND(C9&gt;0,D9&gt;0,Assumptions!$B$7&gt;0),(D9/C9)^(1/Assumptions!$B$7)-1,"")</f>
        <v/>
      </c>
      <c r="F9" s="21">
        <f>IF(AND(C9&lt;&gt;"",D9&lt;&gt;""),D9-C9,"")</f>
        <v/>
      </c>
      <c r="G9" s="22" t="n">
        <v>10</v>
      </c>
      <c r="H9" s="22" t="n">
        <v>9</v>
      </c>
      <c r="I9" s="22" t="n">
        <v>7</v>
      </c>
      <c r="J9" s="22" t="n">
        <v>8</v>
      </c>
      <c r="K9" s="20">
        <f>IF(J9="","",1-(J9-1)/9)</f>
        <v/>
      </c>
      <c r="L9" s="22" t="n">
        <v>6</v>
      </c>
      <c r="M9" s="20">
        <f>COUNT(C9,D9,G9,H9,I9,J9,L9)/7</f>
        <v/>
      </c>
      <c r="N9" s="22" t="n">
        <v>3</v>
      </c>
      <c r="O9" s="20">
        <f>IF(COUNT(C9,D9,G9,H9,I9,J9,L9)=0,"",(IF(MAX($C$5:$C$11)&gt;0,C9/MAX($C$5:$C$11),0)*Assumptions!$B$10+IF(MAX($D$5:$D$11)&gt;0,D9/MAX($D$5:$D$11),0)*Assumptions!$B$11+IF(MAX($E$5:$E$11)&gt;0,E9/MAX($E$5:$E$11),0)*Assumptions!$B$12+IF(G9&lt;&gt;"",G9/10,0)*Assumptions!$B$13+IF(H9&lt;&gt;"",H9/10,0)*Assumptions!$B$14+IF(I9&lt;&gt;"",I9/10,0)*Assumptions!$B$15+IF(K9&lt;&gt;"",K9,0)*Assumptions!$B$16+IF(L9&lt;&gt;"",L9/10,0)*Assumptions!$B$17)*M9)</f>
        <v/>
      </c>
      <c r="P9" s="23">
        <f>IF(O9="","",RANK(O9,$O$5:$O$11,0)+COUNTIF($O$5:O9,O9)-1)</f>
        <v/>
      </c>
      <c r="Q9" s="12">
        <f>IF(O9="","",IF(O9&gt;=Assumptions!$B$22,Assumptions!$A$22,IF(O9&gt;=Assumptions!$B$23,Assumptions!$A$23,IF(O9&gt;=Assumptions!$B$24,Assumptions!$A$24,Assumptions!$A$25))))</f>
        <v/>
      </c>
      <c r="R9" s="24" t="inlineStr">
        <is>
          <t>AI infrastructure is accelerating spending on data-centre equipment, power, cooling, and dense connectivity.</t>
        </is>
      </c>
      <c r="S9" s="24" t="inlineStr">
        <is>
          <t>Power availability, capital intensity, and hyperscaler procurement concentration.</t>
        </is>
      </c>
      <c r="T9" s="24" t="inlineStr">
        <is>
          <t>Target adjacency plays: optical interconnects, racks/cabling, and regional sourcing support.</t>
        </is>
      </c>
      <c r="U9" s="39" t="inlineStr">
        <is>
          <t>https://iot-analytics.com/data-center-infrastructure-market/</t>
        </is>
      </c>
    </row>
    <row r="10" ht="42" customHeight="1" s="50">
      <c r="A10" s="11" t="inlineStr">
        <is>
          <t>ROB</t>
        </is>
      </c>
      <c r="B10" s="18" t="inlineStr">
        <is>
          <t>Robotics &amp; Intelligent Devices</t>
        </is>
      </c>
      <c r="C10" s="19" t="n">
        <v>40.8</v>
      </c>
      <c r="D10" s="19" t="n">
        <v>99.09999999999999</v>
      </c>
      <c r="E10" s="20">
        <f>IF(AND(C10&gt;0,D10&gt;0,Assumptions!$B$7&gt;0),(D10/C10)^(1/Assumptions!$B$7)-1,"")</f>
        <v/>
      </c>
      <c r="F10" s="21">
        <f>IF(AND(C10&lt;&gt;"",D10&lt;&gt;""),D10-C10,"")</f>
        <v/>
      </c>
      <c r="G10" s="22" t="n">
        <v>9</v>
      </c>
      <c r="H10" s="22" t="n">
        <v>7</v>
      </c>
      <c r="I10" s="22" t="n">
        <v>6</v>
      </c>
      <c r="J10" s="22" t="n">
        <v>7</v>
      </c>
      <c r="K10" s="20">
        <f>IF(J10="","",1-(J10-1)/9)</f>
        <v/>
      </c>
      <c r="L10" s="22" t="n">
        <v>6</v>
      </c>
      <c r="M10" s="20">
        <f>COUNT(C10,D10,G10,H10,I10,J10,L10)/7</f>
        <v/>
      </c>
      <c r="N10" s="22" t="n">
        <v>3</v>
      </c>
      <c r="O10" s="20">
        <f>IF(COUNT(C10,D10,G10,H10,I10,J10,L10)=0,"",(IF(MAX($C$5:$C$11)&gt;0,C10/MAX($C$5:$C$11),0)*Assumptions!$B$10+IF(MAX($D$5:$D$11)&gt;0,D10/MAX($D$5:$D$11),0)*Assumptions!$B$11+IF(MAX($E$5:$E$11)&gt;0,E10/MAX($E$5:$E$11),0)*Assumptions!$B$12+IF(G10&lt;&gt;"",G10/10,0)*Assumptions!$B$13+IF(H10&lt;&gt;"",H10/10,0)*Assumptions!$B$14+IF(I10&lt;&gt;"",I10/10,0)*Assumptions!$B$15+IF(K10&lt;&gt;"",K10,0)*Assumptions!$B$16+IF(L10&lt;&gt;"",L10/10,0)*Assumptions!$B$17)*M10)</f>
        <v/>
      </c>
      <c r="P10" s="23">
        <f>IF(O10="","",RANK(O10,$O$5:$O$11,0)+COUNTIF($O$5:O10,O10)-1)</f>
        <v/>
      </c>
      <c r="Q10" s="12">
        <f>IF(O10="","",IF(O10&gt;=Assumptions!$B$22,Assumptions!$A$22,IF(O10&gt;=Assumptions!$B$23,Assumptions!$A$23,IF(O10&gt;=Assumptions!$B$24,Assumptions!$A$24,Assumptions!$A$25))))</f>
        <v/>
      </c>
      <c r="R10" s="24" t="inlineStr">
        <is>
          <t>Labor shortages and service automation support rapid growth, especially in logistics and hospitality.</t>
        </is>
      </c>
      <c r="S10" s="24" t="inlineStr">
        <is>
          <t>ROI proof, integration complexity, and safety/compliance hurdles slow adoption.</t>
        </is>
      </c>
      <c r="T10" s="24" t="inlineStr">
        <is>
          <t>Treat as growth option; build pilot partnerships before scaling inventory commitments.</t>
        </is>
      </c>
      <c r="U10" s="39" t="inlineStr">
        <is>
          <t>https://www.knowledge-sourcing.com/report/service-robot-market</t>
        </is>
      </c>
    </row>
    <row r="11" ht="42" customHeight="1" s="50">
      <c r="A11" s="11" t="inlineStr">
        <is>
          <t>CEV</t>
        </is>
      </c>
      <c r="B11" s="18" t="inlineStr">
        <is>
          <t>Commercial Electronics &amp; Visual Systems</t>
        </is>
      </c>
      <c r="C11" s="19" t="n">
        <v>57.24</v>
      </c>
      <c r="D11" s="19" t="n">
        <v>78.48</v>
      </c>
      <c r="E11" s="20">
        <f>IF(AND(C11&gt;0,D11&gt;0,Assumptions!$B$7&gt;0),(D11/C11)^(1/Assumptions!$B$7)-1,"")</f>
        <v/>
      </c>
      <c r="F11" s="21">
        <f>IF(AND(C11&lt;&gt;"",D11&lt;&gt;""),D11-C11,"")</f>
        <v/>
      </c>
      <c r="G11" s="22" t="n">
        <v>6</v>
      </c>
      <c r="H11" s="22" t="n">
        <v>7</v>
      </c>
      <c r="I11" s="22" t="n">
        <v>7</v>
      </c>
      <c r="J11" s="22" t="n">
        <v>8</v>
      </c>
      <c r="K11" s="20">
        <f>IF(J11="","",1-(J11-1)/9)</f>
        <v/>
      </c>
      <c r="L11" s="22" t="n">
        <v>7</v>
      </c>
      <c r="M11" s="20">
        <f>COUNT(C11,D11,G11,H11,I11,J11,L11)/7</f>
        <v/>
      </c>
      <c r="N11" s="22" t="n">
        <v>4</v>
      </c>
      <c r="O11" s="20">
        <f>IF(COUNT(C11,D11,G11,H11,I11,J11,L11)=0,"",(IF(MAX($C$5:$C$11)&gt;0,C11/MAX($C$5:$C$11),0)*Assumptions!$B$10+IF(MAX($D$5:$D$11)&gt;0,D11/MAX($D$5:$D$11),0)*Assumptions!$B$11+IF(MAX($E$5:$E$11)&gt;0,E11/MAX($E$5:$E$11),0)*Assumptions!$B$12+IF(G11&lt;&gt;"",G11/10,0)*Assumptions!$B$13+IF(H11&lt;&gt;"",H11/10,0)*Assumptions!$B$14+IF(I11&lt;&gt;"",I11/10,0)*Assumptions!$B$15+IF(K11&lt;&gt;"",K11,0)*Assumptions!$B$16+IF(L11&lt;&gt;"",L11/10,0)*Assumptions!$B$17)*M11)</f>
        <v/>
      </c>
      <c r="P11" s="23">
        <f>IF(O11="","",RANK(O11,$O$5:$O$11,0)+COUNTIF($O$5:O11,O11)-1)</f>
        <v/>
      </c>
      <c r="Q11" s="12">
        <f>IF(O11="","",IF(O11&gt;=Assumptions!$B$22,Assumptions!$A$22,IF(O11&gt;=Assumptions!$B$23,Assumptions!$A$23,IF(O11&gt;=Assumptions!$B$24,Assumptions!$A$24,Assumptions!$A$25))))</f>
        <v/>
      </c>
      <c r="R11" s="24" t="inlineStr">
        <is>
          <t>Commercial display demand tracks retail modernization, transport upgrades, control rooms, and workplace collaboration.</t>
        </is>
      </c>
      <c r="S11" s="24" t="inlineStr">
        <is>
          <t>Project timing, capex sensitivity, and panel price swings.</t>
        </is>
      </c>
      <c r="T11" s="24" t="inlineStr">
        <is>
          <t>Compete selectively in project-led segments with integration pull-through rather than pure resale.</t>
        </is>
      </c>
      <c r="U11" s="39" t="inlineStr">
        <is>
          <t>https://www.grandviewresearch.com/industry-analysis/commercial-display-market</t>
        </is>
      </c>
    </row>
    <row r="12" ht="42" customHeight="1" s="50"/>
  </sheetData>
  <mergeCells count="1">
    <mergeCell ref="A1:U2"/>
  </mergeCells>
  <conditionalFormatting sqref="O5:O12">
    <cfRule type="colorScale" priority="1">
      <colorScale>
        <cfvo type="num" val="0"/>
        <cfvo type="num" val="0.5"/>
        <cfvo type="num" val="1"/>
        <color rgb="FFFDE9E7"/>
        <color rgb="FFFFF2CC"/>
        <color rgb="FFE2F0D9"/>
      </colorScale>
    </cfRule>
  </conditionalFormatting>
  <conditionalFormatting sqref="P5:P12">
    <cfRule type="cellIs" priority="2" operator="equal" dxfId="0">
      <formula>1</formula>
    </cfRule>
  </conditionalFormatting>
  <dataValidations count="3">
    <dataValidation sqref="B21:B25 F21:F25 G5:L12" showDropDown="0" showInputMessage="0" showErrorMessage="0" allowBlank="1" type="whole">
      <formula1>1</formula1>
      <formula2>10</formula2>
    </dataValidation>
    <dataValidation sqref="N5:N12" showDropDown="0" showInputMessage="0" showErrorMessage="0" allowBlank="1" type="whole">
      <formula1>1</formula1>
      <formula2>5</formula2>
    </dataValidation>
    <dataValidation sqref="C5:D12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:J2"/>
    </sheetView>
  </sheetViews>
  <sheetFormatPr baseColWidth="8" defaultRowHeight="14.4"/>
  <cols>
    <col width="34" customWidth="1" style="50" min="1" max="1"/>
    <col width="14" customWidth="1" style="50" min="2" max="6"/>
    <col width="16" customWidth="1" style="50" min="7" max="7"/>
    <col width="10" customWidth="1" style="50" min="8" max="8"/>
    <col width="14" customWidth="1" style="50" min="9" max="9"/>
  </cols>
  <sheetData>
    <row r="1">
      <c r="A1" s="51" t="inlineStr">
        <is>
          <t>Annual Forecast Bridge</t>
        </is>
      </c>
    </row>
    <row r="2"/>
    <row r="4" ht="28.8" customHeight="1" s="50">
      <c r="A4" s="2" t="inlineStr">
        <is>
          <t>Industry</t>
        </is>
      </c>
      <c r="B4" s="2">
        <f>Assumptions!B5</f>
        <v/>
      </c>
      <c r="C4" s="2">
        <f>B4+1</f>
        <v/>
      </c>
      <c r="D4" s="2">
        <f>C4+1</f>
        <v/>
      </c>
      <c r="E4" s="2">
        <f>D4+1</f>
        <v/>
      </c>
      <c r="F4" s="2">
        <f>Assumptions!B6</f>
        <v/>
      </c>
      <c r="G4" s="2" t="inlineStr">
        <is>
          <t>Absolute Growth
($m)</t>
        </is>
      </c>
      <c r="H4" s="2" t="inlineStr">
        <is>
          <t>CAGR</t>
        </is>
      </c>
      <c r="I4" s="2" t="inlineStr">
        <is>
          <t>Check vs Input
Forecast</t>
        </is>
      </c>
    </row>
    <row r="5">
      <c r="A5" s="25" t="inlineStr">
        <is>
          <t>Telecommunications Infrastructure</t>
        </is>
      </c>
      <c r="B5" s="26">
        <f>IF(OR(Industry_Data!$C5="",Industry_Data!$E5=""),"",Industry_Data!$C5*(1+Industry_Data!$E5)^(B$4-Assumptions!$B$5))</f>
        <v/>
      </c>
      <c r="C5" s="26">
        <f>IF(OR(Industry_Data!$C5="",Industry_Data!$E5=""),"",Industry_Data!$C5*(1+Industry_Data!$E5)^(C$4-Assumptions!$B$5))</f>
        <v/>
      </c>
      <c r="D5" s="26">
        <f>IF(OR(Industry_Data!$C5="",Industry_Data!$E5=""),"",Industry_Data!$C5*(1+Industry_Data!$E5)^(D$4-Assumptions!$B$5))</f>
        <v/>
      </c>
      <c r="E5" s="26">
        <f>IF(OR(Industry_Data!$C5="",Industry_Data!$E5=""),"",Industry_Data!$C5*(1+Industry_Data!$E5)^(E$4-Assumptions!$B$5))</f>
        <v/>
      </c>
      <c r="F5" s="26">
        <f>IF(OR(Industry_Data!$C5="",Industry_Data!$E5=""),"",Industry_Data!$C5*(1+Industry_Data!$E5)^(F$4-Assumptions!$B$5))</f>
        <v/>
      </c>
      <c r="G5" s="13">
        <f>IF(AND(B5&lt;&gt;"",F5&lt;&gt;""),F5-B5,"")</f>
        <v/>
      </c>
      <c r="H5" s="27">
        <f>Industry_Data!E5</f>
        <v/>
      </c>
      <c r="I5" s="26">
        <f>IF(OR(F5="",Industry_Data!D5=""),"",F5-Industry_Data!D5)</f>
        <v/>
      </c>
    </row>
    <row r="6" ht="28.8" customHeight="1" s="50">
      <c r="A6" s="25" t="inlineStr">
        <is>
          <t>Networking &amp; Data Systems</t>
        </is>
      </c>
      <c r="B6" s="26">
        <f>IF(OR(Industry_Data!$C6="",Industry_Data!$E6=""),"",Industry_Data!$C6*(1+Industry_Data!$E6)^(B$4-Assumptions!$B$5))</f>
        <v/>
      </c>
      <c r="C6" s="26">
        <f>IF(OR(Industry_Data!$C6="",Industry_Data!$E6=""),"",Industry_Data!$C6*(1+Industry_Data!$E6)^(C$4-Assumptions!$B$5))</f>
        <v/>
      </c>
      <c r="D6" s="26">
        <f>IF(OR(Industry_Data!$C6="",Industry_Data!$E6=""),"",Industry_Data!$C6*(1+Industry_Data!$E6)^(D$4-Assumptions!$B$5))</f>
        <v/>
      </c>
      <c r="E6" s="26">
        <f>IF(OR(Industry_Data!$C6="",Industry_Data!$E6=""),"",Industry_Data!$C6*(1+Industry_Data!$E6)^(E$4-Assumptions!$B$5))</f>
        <v/>
      </c>
      <c r="F6" s="26">
        <f>IF(OR(Industry_Data!$C6="",Industry_Data!$E6=""),"",Industry_Data!$C6*(1+Industry_Data!$E6)^(F$4-Assumptions!$B$5))</f>
        <v/>
      </c>
      <c r="G6" s="13">
        <f>IF(AND(B6&lt;&gt;"",F6&lt;&gt;""),F6-B6,"")</f>
        <v/>
      </c>
      <c r="H6" s="27">
        <f>Industry_Data!E6</f>
        <v/>
      </c>
      <c r="I6" s="26">
        <f>IF(OR(F6="",Industry_Data!D6=""),"",F6-Industry_Data!D6)</f>
        <v/>
      </c>
    </row>
    <row r="7">
      <c r="A7" s="25" t="inlineStr">
        <is>
          <t>Security &amp; Surveillance</t>
        </is>
      </c>
      <c r="B7" s="26">
        <f>IF(OR(Industry_Data!$C7="",Industry_Data!$E7=""),"",Industry_Data!$C7*(1+Industry_Data!$E7)^(B$4-Assumptions!$B$5))</f>
        <v/>
      </c>
      <c r="C7" s="26">
        <f>IF(OR(Industry_Data!$C7="",Industry_Data!$E7=""),"",Industry_Data!$C7*(1+Industry_Data!$E7)^(C$4-Assumptions!$B$5))</f>
        <v/>
      </c>
      <c r="D7" s="26">
        <f>IF(OR(Industry_Data!$C7="",Industry_Data!$E7=""),"",Industry_Data!$C7*(1+Industry_Data!$E7)^(D$4-Assumptions!$B$5))</f>
        <v/>
      </c>
      <c r="E7" s="26">
        <f>IF(OR(Industry_Data!$C7="",Industry_Data!$E7=""),"",Industry_Data!$C7*(1+Industry_Data!$E7)^(E$4-Assumptions!$B$5))</f>
        <v/>
      </c>
      <c r="F7" s="26">
        <f>IF(OR(Industry_Data!$C7="",Industry_Data!$E7=""),"",Industry_Data!$C7*(1+Industry_Data!$E7)^(F$4-Assumptions!$B$5))</f>
        <v/>
      </c>
      <c r="G7" s="13">
        <f>IF(AND(B7&lt;&gt;"",F7&lt;&gt;""),F7-B7,"")</f>
        <v/>
      </c>
      <c r="H7" s="27">
        <f>Industry_Data!E7</f>
        <v/>
      </c>
      <c r="I7" s="26">
        <f>IF(OR(F7="",Industry_Data!D7=""),"",F7-Industry_Data!D7)</f>
        <v/>
      </c>
    </row>
    <row r="8" ht="28.8" customHeight="1" s="50">
      <c r="A8" s="25" t="inlineStr">
        <is>
          <t>Smart Building &amp; IoT Systems</t>
        </is>
      </c>
      <c r="B8" s="26">
        <f>IF(OR(Industry_Data!$C8="",Industry_Data!$E8=""),"",Industry_Data!$C8*(1+Industry_Data!$E8)^(B$4-Assumptions!$B$5))</f>
        <v/>
      </c>
      <c r="C8" s="26">
        <f>IF(OR(Industry_Data!$C8="",Industry_Data!$E8=""),"",Industry_Data!$C8*(1+Industry_Data!$E8)^(C$4-Assumptions!$B$5))</f>
        <v/>
      </c>
      <c r="D8" s="26">
        <f>IF(OR(Industry_Data!$C8="",Industry_Data!$E8=""),"",Industry_Data!$C8*(1+Industry_Data!$E8)^(D$4-Assumptions!$B$5))</f>
        <v/>
      </c>
      <c r="E8" s="26">
        <f>IF(OR(Industry_Data!$C8="",Industry_Data!$E8=""),"",Industry_Data!$C8*(1+Industry_Data!$E8)^(E$4-Assumptions!$B$5))</f>
        <v/>
      </c>
      <c r="F8" s="26">
        <f>IF(OR(Industry_Data!$C8="",Industry_Data!$E8=""),"",Industry_Data!$C8*(1+Industry_Data!$E8)^(F$4-Assumptions!$B$5))</f>
        <v/>
      </c>
      <c r="G8" s="13">
        <f>IF(AND(B8&lt;&gt;"",F8&lt;&gt;""),F8-B8,"")</f>
        <v/>
      </c>
      <c r="H8" s="27">
        <f>Industry_Data!E8</f>
        <v/>
      </c>
      <c r="I8" s="26">
        <f>IF(OR(F8="",Industry_Data!D8=""),"",F8-Industry_Data!D8)</f>
        <v/>
      </c>
    </row>
    <row r="9" ht="28.8" customHeight="1" s="50">
      <c r="A9" s="25" t="inlineStr">
        <is>
          <t>Data Centre &amp; AI Infrastructure</t>
        </is>
      </c>
      <c r="B9" s="26">
        <f>IF(OR(Industry_Data!$C9="",Industry_Data!$E9=""),"",Industry_Data!$C9*(1+Industry_Data!$E9)^(B$4-Assumptions!$B$5))</f>
        <v/>
      </c>
      <c r="C9" s="26">
        <f>IF(OR(Industry_Data!$C9="",Industry_Data!$E9=""),"",Industry_Data!$C9*(1+Industry_Data!$E9)^(C$4-Assumptions!$B$5))</f>
        <v/>
      </c>
      <c r="D9" s="26">
        <f>IF(OR(Industry_Data!$C9="",Industry_Data!$E9=""),"",Industry_Data!$C9*(1+Industry_Data!$E9)^(D$4-Assumptions!$B$5))</f>
        <v/>
      </c>
      <c r="E9" s="26">
        <f>IF(OR(Industry_Data!$C9="",Industry_Data!$E9=""),"",Industry_Data!$C9*(1+Industry_Data!$E9)^(E$4-Assumptions!$B$5))</f>
        <v/>
      </c>
      <c r="F9" s="26">
        <f>IF(OR(Industry_Data!$C9="",Industry_Data!$E9=""),"",Industry_Data!$C9*(1+Industry_Data!$E9)^(F$4-Assumptions!$B$5))</f>
        <v/>
      </c>
      <c r="G9" s="13">
        <f>IF(AND(B9&lt;&gt;"",F9&lt;&gt;""),F9-B9,"")</f>
        <v/>
      </c>
      <c r="H9" s="27">
        <f>Industry_Data!E9</f>
        <v/>
      </c>
      <c r="I9" s="26">
        <f>IF(OR(F9="",Industry_Data!D9=""),"",F9-Industry_Data!D9)</f>
        <v/>
      </c>
    </row>
    <row r="10">
      <c r="A10" s="25" t="inlineStr">
        <is>
          <t>Robotics &amp; Intelligent Devices</t>
        </is>
      </c>
      <c r="B10" s="26">
        <f>IF(OR(Industry_Data!$C10="",Industry_Data!$E10=""),"",Industry_Data!$C10*(1+Industry_Data!$E10)^(B$4-Assumptions!$B$5))</f>
        <v/>
      </c>
      <c r="C10" s="26">
        <f>IF(OR(Industry_Data!$C10="",Industry_Data!$E10=""),"",Industry_Data!$C10*(1+Industry_Data!$E10)^(C$4-Assumptions!$B$5))</f>
        <v/>
      </c>
      <c r="D10" s="26">
        <f>IF(OR(Industry_Data!$C10="",Industry_Data!$E10=""),"",Industry_Data!$C10*(1+Industry_Data!$E10)^(D$4-Assumptions!$B$5))</f>
        <v/>
      </c>
      <c r="E10" s="26">
        <f>IF(OR(Industry_Data!$C10="",Industry_Data!$E10=""),"",Industry_Data!$C10*(1+Industry_Data!$E10)^(E$4-Assumptions!$B$5))</f>
        <v/>
      </c>
      <c r="F10" s="26">
        <f>IF(OR(Industry_Data!$C10="",Industry_Data!$E10=""),"",Industry_Data!$C10*(1+Industry_Data!$E10)^(F$4-Assumptions!$B$5))</f>
        <v/>
      </c>
      <c r="G10" s="13">
        <f>IF(AND(B10&lt;&gt;"",F10&lt;&gt;""),F10-B10,"")</f>
        <v/>
      </c>
      <c r="H10" s="27">
        <f>Industry_Data!E10</f>
        <v/>
      </c>
      <c r="I10" s="26">
        <f>IF(OR(F10="",Industry_Data!D10=""),"",F10-Industry_Data!D10)</f>
        <v/>
      </c>
    </row>
    <row r="11" ht="28.8" customHeight="1" s="50">
      <c r="A11" s="25" t="inlineStr">
        <is>
          <t>Commercial Electronics &amp; Visual Systems</t>
        </is>
      </c>
      <c r="B11" s="26">
        <f>IF(OR(Industry_Data!$C11="",Industry_Data!$E11=""),"",Industry_Data!$C11*(1+Industry_Data!$E11)^(B$4-Assumptions!$B$5))</f>
        <v/>
      </c>
      <c r="C11" s="26">
        <f>IF(OR(Industry_Data!$C11="",Industry_Data!$E11=""),"",Industry_Data!$C11*(1+Industry_Data!$E11)^(C$4-Assumptions!$B$5))</f>
        <v/>
      </c>
      <c r="D11" s="26">
        <f>IF(OR(Industry_Data!$C11="",Industry_Data!$E11=""),"",Industry_Data!$C11*(1+Industry_Data!$E11)^(D$4-Assumptions!$B$5))</f>
        <v/>
      </c>
      <c r="E11" s="26">
        <f>IF(OR(Industry_Data!$C11="",Industry_Data!$E11=""),"",Industry_Data!$C11*(1+Industry_Data!$E11)^(E$4-Assumptions!$B$5))</f>
        <v/>
      </c>
      <c r="F11" s="26">
        <f>IF(OR(Industry_Data!$C11="",Industry_Data!$E11=""),"",Industry_Data!$C11*(1+Industry_Data!$E11)^(F$4-Assumptions!$B$5))</f>
        <v/>
      </c>
      <c r="G11" s="13">
        <f>IF(AND(B11&lt;&gt;"",F11&lt;&gt;""),F11-B11,"")</f>
        <v/>
      </c>
      <c r="H11" s="27">
        <f>Industry_Data!E11</f>
        <v/>
      </c>
      <c r="I11" s="26">
        <f>IF(OR(F11="",Industry_Data!D11=""),"",F11-Industry_Data!D11)</f>
        <v/>
      </c>
    </row>
    <row r="12" ht="28.8" customHeight="1" s="50"/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topLeftCell="A14" workbookViewId="0">
      <selection activeCell="D4" sqref="D4"/>
    </sheetView>
  </sheetViews>
  <sheetFormatPr baseColWidth="8" defaultRowHeight="14.4"/>
  <cols>
    <col width="8" customWidth="1" style="50" min="1" max="1"/>
    <col width="34" customWidth="1" style="50" min="2" max="2"/>
    <col width="14" customWidth="1" style="50" min="3" max="5"/>
    <col width="10" customWidth="1" style="50" min="6" max="6"/>
    <col width="16" customWidth="1" style="50" min="7" max="7"/>
    <col width="42" customWidth="1" style="50" min="8" max="8"/>
  </cols>
  <sheetData>
    <row r="1">
      <c r="A1" s="51" t="inlineStr">
        <is>
          <t>Dominance Ranking Summary</t>
        </is>
      </c>
    </row>
    <row r="2"/>
    <row r="4">
      <c r="A4" s="10" t="inlineStr">
        <is>
          <t>Top Industry</t>
        </is>
      </c>
      <c r="B4" s="28" t="inlineStr">
        <is>
          <t>Data Centre &amp; AI Infrastructure</t>
        </is>
      </c>
      <c r="C4" s="10" t="inlineStr">
        <is>
          <t>Top Score</t>
        </is>
      </c>
      <c r="D4" s="29" t="n">
        <v>0.872</v>
      </c>
      <c r="E4" s="10" t="inlineStr">
        <is>
          <t>Avg Score</t>
        </is>
      </c>
      <c r="F4" s="29" t="n">
        <v>0.532</v>
      </c>
    </row>
    <row r="6" ht="28.8" customHeight="1" s="50">
      <c r="A6" s="2" t="inlineStr">
        <is>
          <t>Rank</t>
        </is>
      </c>
      <c r="B6" s="2" t="inlineStr">
        <is>
          <t>Industry</t>
        </is>
      </c>
      <c r="C6" s="2" t="inlineStr">
        <is>
          <t>Dominance Score</t>
        </is>
      </c>
      <c r="D6" s="2" t="inlineStr">
        <is>
          <t>Current Size ($m)</t>
        </is>
      </c>
      <c r="E6" s="2" t="inlineStr">
        <is>
          <t>Forecast Size ($m)</t>
        </is>
      </c>
      <c r="F6" s="2" t="inlineStr">
        <is>
          <t>CAGR</t>
        </is>
      </c>
      <c r="G6" s="2" t="inlineStr">
        <is>
          <t>Bucket</t>
        </is>
      </c>
      <c r="H6" s="2" t="inlineStr">
        <is>
          <t>Main Comment</t>
        </is>
      </c>
    </row>
    <row r="7" ht="43.2" customHeight="1" s="50">
      <c r="A7" s="13" t="n">
        <v>1</v>
      </c>
      <c r="B7" s="13" t="inlineStr">
        <is>
          <t>Data Centre &amp; AI Infrastructure</t>
        </is>
      </c>
      <c r="C7" s="27" t="n">
        <v>0.872</v>
      </c>
      <c r="D7" s="26" t="n">
        <v>356.7</v>
      </c>
      <c r="E7" s="26" t="n">
        <v>1010</v>
      </c>
      <c r="F7" s="27" t="n">
        <v>0.2314127696831261</v>
      </c>
      <c r="G7" s="13">
        <f>IF(O9="","",IF(O9&gt;=Assumptions!$B$22,Assumptions!$A$22,IF(O9&gt;=Assumptions!$B$23,Assumptions!$A$23,IF(O9&gt;=Assumptions!$B$24,Assumptions!$A$24,Assumptions!$A$25))))</f>
        <v/>
      </c>
      <c r="H7" s="13" t="inlineStr">
        <is>
          <t>AI infrastructure is accelerating spending on data-centre equipment, power, cooling, and dense connectivity.</t>
        </is>
      </c>
    </row>
    <row r="8" ht="43.2" customHeight="1" s="50">
      <c r="A8" s="13" t="n">
        <v>2</v>
      </c>
      <c r="B8" s="13" t="inlineStr">
        <is>
          <t>Smart Building &amp; IoT Systems</t>
        </is>
      </c>
      <c r="C8" s="27" t="n">
        <v>0.633</v>
      </c>
      <c r="D8" s="26" t="n">
        <v>141.79</v>
      </c>
      <c r="E8" s="26" t="n">
        <v>336.94</v>
      </c>
      <c r="F8" s="27" t="n">
        <v>0.1889987383920937</v>
      </c>
      <c r="G8" s="13">
        <f>IF(O8="","",IF(O8&gt;=Assumptions!$B$22,Assumptions!$A$22,IF(O8&gt;=Assumptions!$B$23,Assumptions!$A$23,IF(O8&gt;=Assumptions!$B$24,Assumptions!$A$24,Assumptions!$A$25))))</f>
        <v/>
      </c>
      <c r="H8" s="13" t="inlineStr">
        <is>
          <t>2030 value is estimated from 2025 market size and reported CAGR; retrofits and IoT integration are strong drivers.</t>
        </is>
      </c>
    </row>
    <row r="9" ht="43.2" customHeight="1" s="50">
      <c r="A9" s="13" t="n">
        <v>3</v>
      </c>
      <c r="B9" s="13" t="inlineStr">
        <is>
          <t>Robotics &amp; Intelligent Devices</t>
        </is>
      </c>
      <c r="C9" s="27" t="n">
        <v>0.495</v>
      </c>
      <c r="D9" s="26" t="n">
        <v>40.8</v>
      </c>
      <c r="E9" s="26" t="n">
        <v>99.09999999999999</v>
      </c>
      <c r="F9" s="27" t="n">
        <v>0.1942154851179332</v>
      </c>
      <c r="G9" s="13">
        <f>IF(O10="","",IF(O10&gt;=Assumptions!$B$22,Assumptions!$A$22,IF(O10&gt;=Assumptions!$B$23,Assumptions!$A$23,IF(O10&gt;=Assumptions!$B$24,Assumptions!$A$24,Assumptions!$A$25))))</f>
        <v/>
      </c>
      <c r="H9" s="13" t="inlineStr">
        <is>
          <t>Labor shortages and service automation support rapid growth, especially in logistics and hospitality.</t>
        </is>
      </c>
    </row>
    <row r="10" ht="28.8" customHeight="1" s="50">
      <c r="A10" s="13" t="n">
        <v>4</v>
      </c>
      <c r="B10" s="13" t="inlineStr">
        <is>
          <t>Networking &amp; Data Systems</t>
        </is>
      </c>
      <c r="C10" s="27" t="n">
        <v>0.48</v>
      </c>
      <c r="D10" s="26" t="n">
        <v>124.59</v>
      </c>
      <c r="E10" s="26" t="n">
        <v>193.77</v>
      </c>
      <c r="F10" s="27" t="n">
        <v>0.0923471267850644</v>
      </c>
      <c r="G10" s="13">
        <f>IF(O6="","",IF(O6&gt;=Assumptions!$B$22,Assumptions!$A$22,IF(O6&gt;=Assumptions!$B$23,Assumptions!$A$23,IF(O6&gt;=Assumptions!$B$24,Assumptions!$A$24,Assumptions!$A$25))))</f>
        <v/>
      </c>
      <c r="H10" s="13" t="inlineStr">
        <is>
          <t>Cloud migration, wireless upgrades, and secure enterprise architectures keep demand resilient.</t>
        </is>
      </c>
    </row>
    <row r="11" ht="28.8" customHeight="1" s="50">
      <c r="A11" s="13" t="n">
        <v>5</v>
      </c>
      <c r="B11" s="13" t="inlineStr">
        <is>
          <t>Security &amp; Surveillance</t>
        </is>
      </c>
      <c r="C11" s="27" t="n">
        <v>0.446</v>
      </c>
      <c r="D11" s="26" t="n">
        <v>120.79</v>
      </c>
      <c r="E11" s="26" t="n">
        <v>151.5</v>
      </c>
      <c r="F11" s="27" t="n">
        <v>0.04634843797002608</v>
      </c>
      <c r="G11" s="13">
        <f>IF(O7="","",IF(O7&gt;=Assumptions!$B$22,Assumptions!$A$22,IF(O7&gt;=Assumptions!$B$23,Assumptions!$A$23,IF(O7&gt;=Assumptions!$B$24,Assumptions!$A$24,Assumptions!$A$25))))</f>
        <v/>
      </c>
      <c r="H11" s="13" t="inlineStr">
        <is>
          <t>Security budgets remain stable and AI analytics expand use cases beyond basic monitoring.</t>
        </is>
      </c>
    </row>
    <row r="12" ht="28.8" customHeight="1" s="50">
      <c r="A12" s="13" t="n">
        <v>6</v>
      </c>
      <c r="B12" s="13" t="inlineStr">
        <is>
          <t>Telecommunications Infrastructure</t>
        </is>
      </c>
      <c r="C12" s="27" t="n">
        <v>0.431</v>
      </c>
      <c r="D12" s="26" t="n">
        <v>36.69</v>
      </c>
      <c r="E12" s="26" t="n">
        <v>58.65</v>
      </c>
      <c r="F12" s="27" t="n">
        <v>0.09835836250452301</v>
      </c>
      <c r="G12" s="13">
        <f>IF(O5="","",IF(O5&gt;=Assumptions!$B$22,Assumptions!$A$22,IF(O5&gt;=Assumptions!$B$23,Assumptions!$A$23,IF(O5&gt;=Assumptions!$B$24,Assumptions!$A$24,Assumptions!$A$25))))</f>
        <v/>
      </c>
      <c r="H12" s="13" t="inlineStr">
        <is>
          <t>Optics growth is supported by AI interconnect demand, 5G backhaul, and FTTH expansion.</t>
        </is>
      </c>
    </row>
    <row r="13" ht="43.2" customHeight="1" s="50">
      <c r="A13" s="13" t="n">
        <v>7</v>
      </c>
      <c r="B13" s="13" t="inlineStr">
        <is>
          <t>Commercial Electronics &amp; Visual Systems</t>
        </is>
      </c>
      <c r="C13" s="27" t="n">
        <v>0.365</v>
      </c>
      <c r="D13" s="26" t="n">
        <v>57.24</v>
      </c>
      <c r="E13" s="26" t="n">
        <v>78.48</v>
      </c>
      <c r="F13" s="27" t="n">
        <v>0.06515270314077637</v>
      </c>
      <c r="G13" s="13">
        <f>IF(O11="","",IF(O11&gt;=Assumptions!$B$22,Assumptions!$A$22,IF(O11&gt;=Assumptions!$B$23,Assumptions!$A$23,IF(O11&gt;=Assumptions!$B$24,Assumptions!$A$24,Assumptions!$A$25))))</f>
        <v/>
      </c>
      <c r="H13" s="13" t="inlineStr">
        <is>
          <t>Commercial display demand tracks retail modernization, transport upgrades, control rooms, and workplace collaboration.</t>
        </is>
      </c>
    </row>
    <row r="14">
      <c r="A14" s="13" t="n"/>
      <c r="B14" s="13" t="n"/>
      <c r="C14" s="27" t="n"/>
      <c r="D14" s="26" t="n"/>
      <c r="E14" s="26" t="n"/>
      <c r="F14" s="27" t="n"/>
      <c r="G14" s="13" t="n"/>
      <c r="H14" s="13" t="n"/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topLeftCell="C1" workbookViewId="0">
      <selection activeCell="A1" sqref="A1:I2"/>
    </sheetView>
  </sheetViews>
  <sheetFormatPr baseColWidth="8" defaultRowHeight="14.4"/>
  <cols>
    <col width="24" customWidth="1" style="50" min="1" max="1"/>
    <col width="28" customWidth="1" style="50" min="2" max="2"/>
    <col width="24" customWidth="1" style="50" min="3" max="5"/>
    <col width="42" customWidth="1" style="50" min="6" max="6"/>
    <col width="16" customWidth="1" style="50" min="7" max="7"/>
    <col width="42" customWidth="1" style="50" min="8" max="8"/>
    <col width="14" customWidth="1" style="50" min="9" max="9"/>
  </cols>
  <sheetData>
    <row r="1">
      <c r="A1" s="52" t="inlineStr">
        <is>
          <t>Source Log</t>
        </is>
      </c>
    </row>
    <row r="2"/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</row>
    <row r="4">
      <c r="A4" s="43" t="inlineStr">
        <is>
          <t>Date Added</t>
        </is>
      </c>
      <c r="B4" s="43" t="inlineStr">
        <is>
          <t>Industry</t>
        </is>
      </c>
      <c r="C4" s="43" t="inlineStr">
        <is>
          <t>Metric / Topic</t>
        </is>
      </c>
      <c r="D4" s="43" t="inlineStr">
        <is>
          <t>Geography</t>
        </is>
      </c>
      <c r="E4" s="43" t="inlineStr">
        <is>
          <t>Source Type</t>
        </is>
      </c>
      <c r="F4" s="43" t="inlineStr">
        <is>
          <t>Source URL</t>
        </is>
      </c>
      <c r="G4" s="43" t="inlineStr">
        <is>
          <t>Publication Date</t>
        </is>
      </c>
      <c r="H4" s="43" t="inlineStr">
        <is>
          <t>Key Takeaway</t>
        </is>
      </c>
      <c r="I4" s="43" t="inlineStr">
        <is>
          <t>Reliability (1-5)</t>
        </is>
      </c>
    </row>
    <row r="5" ht="43.2" customHeight="1" s="50">
      <c r="A5" s="22" t="inlineStr">
        <is>
          <t>2026-03-21</t>
        </is>
      </c>
      <c r="B5" s="22" t="inlineStr">
        <is>
          <t>TEL</t>
        </is>
      </c>
      <c r="C5" s="22" t="inlineStr">
        <is>
          <t>Fiber optic components market size / forecast</t>
        </is>
      </c>
      <c r="D5" s="22" t="inlineStr">
        <is>
          <t>Global</t>
        </is>
      </c>
      <c r="E5" s="22" t="inlineStr">
        <is>
          <t>Market report</t>
        </is>
      </c>
      <c r="F5" s="44" t="inlineStr">
        <is>
          <t>https://www.marketsandmarkets.com/PressReleases/fiber-optic-component.asp</t>
        </is>
      </c>
      <c r="G5" s="22" t="inlineStr">
        <is>
          <t>2025-05-02</t>
        </is>
      </c>
      <c r="H5" s="22" t="inlineStr">
        <is>
          <t>2025 market size USD 36.69bn; 2030 forecast USD 58.65bn; AI + 5G + broadband are key drivers.</t>
        </is>
      </c>
      <c r="I5" s="22" t="n">
        <v>4</v>
      </c>
    </row>
    <row r="6" ht="28.8" customHeight="1" s="50">
      <c r="A6" s="22" t="inlineStr">
        <is>
          <t>2026-03-21</t>
        </is>
      </c>
      <c r="B6" s="22" t="inlineStr">
        <is>
          <t>NET</t>
        </is>
      </c>
      <c r="C6" s="22" t="inlineStr">
        <is>
          <t>Enterprise networking market size / forecast</t>
        </is>
      </c>
      <c r="D6" s="22" t="inlineStr">
        <is>
          <t>Global</t>
        </is>
      </c>
      <c r="E6" s="22" t="inlineStr">
        <is>
          <t>Market report</t>
        </is>
      </c>
      <c r="F6" s="44" t="inlineStr">
        <is>
          <t>https://www.marketsandmarkets.com/PressReleases/enterprise-networking.asp</t>
        </is>
      </c>
      <c r="G6" s="22" t="inlineStr">
        <is>
          <t>2025-04-28</t>
        </is>
      </c>
      <c r="H6" s="22" t="inlineStr">
        <is>
          <t>2025 market size USD 124.59bn; 2030 forecast USD 193.77bn.</t>
        </is>
      </c>
      <c r="I6" s="22" t="n">
        <v>4</v>
      </c>
    </row>
    <row r="7" ht="28.8" customHeight="1" s="50">
      <c r="A7" s="22" t="inlineStr">
        <is>
          <t>2026-03-21</t>
        </is>
      </c>
      <c r="B7" s="22" t="inlineStr">
        <is>
          <t>SEC</t>
        </is>
      </c>
      <c r="C7" s="22" t="inlineStr">
        <is>
          <t>Physical security market size / forecast</t>
        </is>
      </c>
      <c r="D7" s="22" t="inlineStr">
        <is>
          <t>Global</t>
        </is>
      </c>
      <c r="E7" s="22" t="inlineStr">
        <is>
          <t>Market report</t>
        </is>
      </c>
      <c r="F7" s="44" t="inlineStr">
        <is>
          <t>https://www.marketsandmarkets.com/Market-Reports/physical-security-market-1014.html</t>
        </is>
      </c>
      <c r="G7" s="22" t="inlineStr">
        <is>
          <t>2025</t>
        </is>
      </c>
      <c r="H7" s="22" t="inlineStr">
        <is>
          <t>2025 market size USD 120.79bn; 2030 forecast USD 151.50bn.</t>
        </is>
      </c>
      <c r="I7" s="22" t="n">
        <v>4</v>
      </c>
    </row>
    <row r="8" ht="28.8" customHeight="1" s="50">
      <c r="A8" s="22" t="inlineStr">
        <is>
          <t>2026-03-21</t>
        </is>
      </c>
      <c r="B8" s="22" t="inlineStr">
        <is>
          <t>SBL</t>
        </is>
      </c>
      <c r="C8" s="22" t="inlineStr">
        <is>
          <t>Smart building market size / CAGR</t>
        </is>
      </c>
      <c r="D8" s="22" t="inlineStr">
        <is>
          <t>Global</t>
        </is>
      </c>
      <c r="E8" s="22" t="inlineStr">
        <is>
          <t>Market report</t>
        </is>
      </c>
      <c r="F8" s="44" t="inlineStr">
        <is>
          <t>https://www.grandviewresearch.com/industry-analysis/global-smart-buildings-market</t>
        </is>
      </c>
      <c r="G8" s="22" t="inlineStr">
        <is>
          <t>2026</t>
        </is>
      </c>
      <c r="H8" s="22" t="inlineStr">
        <is>
          <t>2025 market size USD 141.79bn; workbook 2030E extrapolated from reported CAGR.</t>
        </is>
      </c>
      <c r="I8" s="22" t="n">
        <v>3</v>
      </c>
    </row>
    <row r="9" ht="43.2" customHeight="1" s="50">
      <c r="A9" s="22" t="inlineStr">
        <is>
          <t>2026-03-21</t>
        </is>
      </c>
      <c r="B9" s="22" t="inlineStr">
        <is>
          <t>DCA</t>
        </is>
      </c>
      <c r="C9" s="22" t="inlineStr">
        <is>
          <t>Data-center equipment &amp; infrastructure market</t>
        </is>
      </c>
      <c r="D9" s="22" t="inlineStr">
        <is>
          <t>Global</t>
        </is>
      </c>
      <c r="E9" s="22" t="inlineStr">
        <is>
          <t>Market report</t>
        </is>
      </c>
      <c r="F9" s="44" t="inlineStr">
        <is>
          <t>https://iot-analytics.com/data-center-infrastructure-market/</t>
        </is>
      </c>
      <c r="G9" s="22" t="inlineStr">
        <is>
          <t>2025-11-12</t>
        </is>
      </c>
      <c r="H9" s="22" t="inlineStr">
        <is>
          <t>2024 market size USD 290bn; 2030 forecast USD 1.01tn; workbook 2025E estimated from source growth path.</t>
        </is>
      </c>
      <c r="I9" s="22" t="n">
        <v>4</v>
      </c>
    </row>
    <row r="10" ht="28.8" customHeight="1" s="50">
      <c r="A10" s="22" t="inlineStr">
        <is>
          <t>2026-03-21</t>
        </is>
      </c>
      <c r="B10" s="22" t="inlineStr">
        <is>
          <t>ROB</t>
        </is>
      </c>
      <c r="C10" s="22" t="inlineStr">
        <is>
          <t>Service robotics market size / forecast</t>
        </is>
      </c>
      <c r="D10" s="22" t="inlineStr">
        <is>
          <t>Global</t>
        </is>
      </c>
      <c r="E10" s="22" t="inlineStr">
        <is>
          <t>Market report</t>
        </is>
      </c>
      <c r="F10" s="44" t="inlineStr">
        <is>
          <t>https://www.knowledge-sourcing.com/report/service-robot-market</t>
        </is>
      </c>
      <c r="G10" s="22" t="inlineStr">
        <is>
          <t>2025</t>
        </is>
      </c>
      <c r="H10" s="22" t="inlineStr">
        <is>
          <t>2025 market size USD 40.8bn; 2030 forecast USD 99.1bn.</t>
        </is>
      </c>
      <c r="I10" s="22" t="n">
        <v>3</v>
      </c>
    </row>
    <row r="11" ht="43.2" customHeight="1" s="50">
      <c r="A11" s="22" t="inlineStr">
        <is>
          <t>2026-03-21</t>
        </is>
      </c>
      <c r="B11" s="22" t="inlineStr">
        <is>
          <t>CEV</t>
        </is>
      </c>
      <c r="C11" s="22" t="inlineStr">
        <is>
          <t>Commercial display market size / forecast</t>
        </is>
      </c>
      <c r="D11" s="22" t="inlineStr">
        <is>
          <t>Global</t>
        </is>
      </c>
      <c r="E11" s="22" t="inlineStr">
        <is>
          <t>Market report</t>
        </is>
      </c>
      <c r="F11" s="44" t="inlineStr">
        <is>
          <t>https://www.grandviewresearch.com/industry-analysis/commercial-display-market</t>
        </is>
      </c>
      <c r="G11" s="22" t="inlineStr">
        <is>
          <t>2026</t>
        </is>
      </c>
      <c r="H11" s="22" t="inlineStr">
        <is>
          <t>2024 market size USD 53.65bn; 2030 forecast USD 78.48bn; workbook 2025E estimated from CAGR.</t>
        </is>
      </c>
      <c r="I11" s="22" t="n">
        <v>4</v>
      </c>
    </row>
    <row r="12" ht="28.8" customHeight="1" s="50">
      <c r="A12" s="22" t="inlineStr">
        <is>
          <t>2026-03-21</t>
        </is>
      </c>
      <c r="B12" s="22" t="inlineStr">
        <is>
          <t>ALL</t>
        </is>
      </c>
      <c r="C12" s="22" t="inlineStr">
        <is>
          <t>AI power demand and data-center electricity growth</t>
        </is>
      </c>
      <c r="D12" s="22" t="inlineStr">
        <is>
          <t>Global</t>
        </is>
      </c>
      <c r="E12" s="22" t="inlineStr">
        <is>
          <t>Institutional analysis</t>
        </is>
      </c>
      <c r="F12" s="44" t="inlineStr">
        <is>
          <t>https://www.iea.org/reports/energy-and-ai/energy-demand-from-ai</t>
        </is>
      </c>
      <c r="G12" s="22" t="inlineStr">
        <is>
          <t>2025</t>
        </is>
      </c>
      <c r="H12" s="22" t="inlineStr">
        <is>
          <t>Data-centre electricity consumption is projected to roughly double by 2030.</t>
        </is>
      </c>
      <c r="I12" s="22" t="n">
        <v>5</v>
      </c>
    </row>
    <row r="13" ht="43.2" customHeight="1" s="50">
      <c r="A13" s="22" t="inlineStr">
        <is>
          <t>2026-03-21</t>
        </is>
      </c>
      <c r="B13" s="22" t="inlineStr">
        <is>
          <t>ALL</t>
        </is>
      </c>
      <c r="C13" s="22" t="inlineStr">
        <is>
          <t>Mobile traffic / 5G traffic growth</t>
        </is>
      </c>
      <c r="D13" s="22" t="inlineStr">
        <is>
          <t>Global</t>
        </is>
      </c>
      <c r="E13" s="22" t="inlineStr">
        <is>
          <t>Industry report</t>
        </is>
      </c>
      <c r="F13" s="44" t="inlineStr">
        <is>
          <t>https://www.ericsson.com/en/reports-and-papers/mobility-report/dataforecasts/mobile-traffic-forecast</t>
        </is>
      </c>
      <c r="G13" s="22" t="inlineStr">
        <is>
          <t>2026</t>
        </is>
      </c>
      <c r="H13" s="22" t="inlineStr">
        <is>
          <t>5G share of mobile data traffic rises sharply through 2031, supporting network upgrades.</t>
        </is>
      </c>
      <c r="I13" s="22" t="n">
        <v>4</v>
      </c>
    </row>
    <row r="14" ht="43.2" customHeight="1" s="50">
      <c r="A14" s="22" t="inlineStr">
        <is>
          <t>2026-03-21</t>
        </is>
      </c>
      <c r="B14" s="22" t="inlineStr">
        <is>
          <t>ALL</t>
        </is>
      </c>
      <c r="C14" s="22" t="inlineStr">
        <is>
          <t>Telecom and data-centre geopolitical pressure</t>
        </is>
      </c>
      <c r="D14" s="22" t="inlineStr">
        <is>
          <t>Global</t>
        </is>
      </c>
      <c r="E14" s="22" t="inlineStr">
        <is>
          <t>Strategy article</t>
        </is>
      </c>
      <c r="F14" s="44" t="inlineStr">
        <is>
          <t>https://www.pwc.com/us/en/industries/tmt/library/geo-economic-shifts-in-tech-and-telecom.html</t>
        </is>
      </c>
      <c r="G14" s="22" t="inlineStr">
        <is>
          <t>2025-07-22</t>
        </is>
      </c>
      <c r="H14" s="22" t="inlineStr">
        <is>
          <t>Tariffs, restrictions, and geopolitics are reshaping sourcing strategies.</t>
        </is>
      </c>
      <c r="I14" s="22" t="n">
        <v>4</v>
      </c>
    </row>
    <row r="15" ht="43.2" customHeight="1" s="50">
      <c r="A15" s="22" t="inlineStr">
        <is>
          <t>2026-03-21</t>
        </is>
      </c>
      <c r="B15" s="22" t="inlineStr">
        <is>
          <t>ROB</t>
        </is>
      </c>
      <c r="C15" s="22" t="inlineStr">
        <is>
          <t>Industrial robot deployment trend</t>
        </is>
      </c>
      <c r="D15" s="22" t="inlineStr">
        <is>
          <t>Global</t>
        </is>
      </c>
      <c r="E15" s="22" t="inlineStr">
        <is>
          <t>Industry federation</t>
        </is>
      </c>
      <c r="F15" s="44" t="inlineStr">
        <is>
          <t>https://ifr.org/ifr-press-releases/news/global-robot-demand-in-factories-doubles-over-10-years</t>
        </is>
      </c>
      <c r="G15" s="22" t="inlineStr">
        <is>
          <t>2025-09-25</t>
        </is>
      </c>
      <c r="H15" s="22" t="inlineStr">
        <is>
          <t>Industrial robot installations remained above 500k units in 2024, confirming broad automation demand.</t>
        </is>
      </c>
      <c r="I15" s="22" t="n">
        <v>5</v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 ht="28.8" customHeight="1" s="50">
      <c r="A45" s="41" t="inlineStr">
        <is>
          <t>Market regions / countries</t>
        </is>
      </c>
      <c r="B45" s="41" t="inlineStr">
        <is>
          <t>World Bank Internet Users indicator</t>
        </is>
      </c>
      <c r="C45" s="41" t="inlineStr">
        <is>
          <t>https://data.worldbank.org/indicator/IT.NET.USER.ZS</t>
        </is>
      </c>
      <c r="D45" s="41" t="inlineStr">
        <is>
          <t>Country digital adoption baseline / market context</t>
        </is>
      </c>
      <c r="E45" s="41" t="n"/>
      <c r="F45" s="41" t="n"/>
      <c r="G45" s="41" t="n"/>
      <c r="H45" s="41" t="n"/>
      <c r="I45" s="41" t="n"/>
    </row>
    <row r="46" ht="43.2" customHeight="1" s="50">
      <c r="A46" s="41" t="inlineStr">
        <is>
          <t>Market regions / countries</t>
        </is>
      </c>
      <c r="B46" s="41" t="inlineStr">
        <is>
          <t>ITU Facts and Figures 2025</t>
        </is>
      </c>
      <c r="C46" s="41" t="inlineStr">
        <is>
          <t>https://www.itu.int/en/ITU-D/Statistics/pages/facts/default.aspx</t>
        </is>
      </c>
      <c r="D46" s="41" t="inlineStr">
        <is>
          <t>Regional connectivity context and digital development trends</t>
        </is>
      </c>
      <c r="E46" s="41" t="n"/>
      <c r="F46" s="41" t="n"/>
      <c r="G46" s="41" t="n"/>
      <c r="H46" s="41" t="n"/>
      <c r="I46" s="41" t="n"/>
    </row>
    <row r="47" ht="57.6" customHeight="1" s="50">
      <c r="A47" s="41" t="inlineStr">
        <is>
          <t>Africa markets</t>
        </is>
      </c>
      <c r="B47" s="41" t="inlineStr">
        <is>
          <t>GSMA Mobile Economy Africa 2025</t>
        </is>
      </c>
      <c r="C47" s="41" t="inlineStr">
        <is>
          <t>https://www.gsmaintelligence.com/research/the-mobile-economy-africa-2025</t>
        </is>
      </c>
      <c r="D47" s="41" t="inlineStr">
        <is>
          <t>Mobile and digital economy context for African markets</t>
        </is>
      </c>
      <c r="E47" s="41" t="n"/>
      <c r="F47" s="41" t="n"/>
      <c r="G47" s="41" t="n"/>
      <c r="H47" s="41" t="n"/>
      <c r="I47" s="41" t="n"/>
    </row>
    <row r="48" ht="57.6" customHeight="1" s="50">
      <c r="A48" s="41" t="inlineStr">
        <is>
          <t>Global / LATAM / SEA market logic</t>
        </is>
      </c>
      <c r="B48" s="41" t="inlineStr">
        <is>
          <t>GSMA Mobile Economy 2025/2026</t>
        </is>
      </c>
      <c r="C48" s="41" t="inlineStr">
        <is>
          <t>https://www.gsma.com/solutions-and-impact/connectivity-for-good/mobile-economy/</t>
        </is>
      </c>
      <c r="D48" s="41" t="inlineStr">
        <is>
          <t>Global mobile and connectivity demand context</t>
        </is>
      </c>
      <c r="E48" s="41" t="n"/>
      <c r="F48" s="41" t="n"/>
      <c r="G48" s="41" t="n"/>
      <c r="H48" s="41" t="n"/>
      <c r="I48" s="41" t="n"/>
    </row>
    <row r="49" ht="57.6" customHeight="1" s="50">
      <c r="A49" s="41" t="inlineStr">
        <is>
          <t>Data Centre &amp; AI context</t>
        </is>
      </c>
      <c r="B49" s="41" t="inlineStr">
        <is>
          <t>JLL Data Center Outlook 2026</t>
        </is>
      </c>
      <c r="C49" s="41" t="inlineStr">
        <is>
          <t>https://www.jll.com/en-us/insights/market-outlook/data-center-outlook</t>
        </is>
      </c>
      <c r="D49" s="41" t="inlineStr">
        <is>
          <t>Data center growth logic used for DCA attractiveness</t>
        </is>
      </c>
      <c r="E49" s="41" t="n"/>
      <c r="F49" s="41" t="n"/>
      <c r="G49" s="41" t="n"/>
      <c r="H49" s="41" t="n"/>
      <c r="I49" s="41" t="n"/>
    </row>
  </sheetData>
  <mergeCells count="1">
    <mergeCell ref="A1:I2"/>
  </mergeCells>
  <dataValidations count="1">
    <dataValidation sqref="I5:I44" showDropDown="0" showInputMessage="0" showErrorMessage="0" allowBlank="1" type="whole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topLeftCell="A7" workbookViewId="0">
      <selection activeCell="A1" sqref="A1:G2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Telecommunications Infrastructure</t>
        </is>
      </c>
    </row>
    <row r="2"/>
    <row r="4" ht="129.6" customHeight="1" s="50">
      <c r="A4" s="30" t="inlineStr">
        <is>
          <t>Definition</t>
        </is>
      </c>
      <c r="B4" s="13" t="inlineStr">
        <is>
          <t>Physical and technological systems that enable the transmission of voice, data, and internet services across local, regional, and global communication networks.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fiber optic cables; ODN/closures/cabinets; passive optical components; PON equipment; transmission systems</t>
        </is>
      </c>
      <c r="C5" s="41" t="n"/>
      <c r="D5" s="25" t="inlineStr">
        <is>
          <t>Current market size ($m)</t>
        </is>
      </c>
      <c r="E5" s="4">
        <f>Industry_Data!C5</f>
        <v/>
      </c>
    </row>
    <row r="6" ht="72" customHeight="1" s="50">
      <c r="A6" s="30" t="inlineStr">
        <is>
          <t>Typical customers</t>
        </is>
      </c>
      <c r="B6" s="13" t="inlineStr">
        <is>
          <t>telecom operators; ISPs; infrastructure contractors; system integrators</t>
        </is>
      </c>
      <c r="C6" s="41" t="n"/>
      <c r="D6" s="25" t="inlineStr">
        <is>
          <t>Forecast market size ($m)</t>
        </is>
      </c>
      <c r="E6" s="4">
        <f>Industry_Data!D5</f>
        <v/>
      </c>
    </row>
    <row r="7" ht="86.40000000000001" customHeight="1" s="50">
      <c r="A7" s="30" t="inlineStr">
        <is>
          <t>Strategic note</t>
        </is>
      </c>
      <c r="B7" s="13" t="inlineStr">
        <is>
          <t>Backbone connectivity domain supported by broadband rollout, 5G backhaul, and public network investment.</t>
        </is>
      </c>
      <c r="C7" s="41" t="n"/>
      <c r="D7" s="6" t="inlineStr">
        <is>
          <t>CAGR</t>
        </is>
      </c>
      <c r="E7" s="31">
        <f>Industry_Data!E5</f>
        <v/>
      </c>
    </row>
    <row r="8">
      <c r="D8" s="6" t="inlineStr">
        <is>
          <t>Dominance score</t>
        </is>
      </c>
      <c r="E8" s="31">
        <f>Industry_Data!O5</f>
        <v/>
      </c>
    </row>
    <row r="9">
      <c r="D9" s="6" t="inlineStr">
        <is>
          <t>Rank</t>
        </is>
      </c>
      <c r="E9" s="32">
        <f>Industry_Data!P5</f>
        <v/>
      </c>
    </row>
    <row r="10">
      <c r="D10" s="6" t="inlineStr">
        <is>
          <t>Bucket</t>
        </is>
      </c>
      <c r="E10" s="4">
        <f>Industry_Data!Q5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36.69bn (2025/2025E aligned).</t>
        </is>
      </c>
      <c r="D12" s="39" t="inlineStr">
        <is>
          <t>https://www.marketsandmarkets.com/PressReleases/fiber-optic-component.asp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58.65bn by 2030.</t>
        </is>
      </c>
      <c r="D13" s="39" t="inlineStr">
        <is>
          <t>https://www.marketsandmarkets.com/PressReleases/fiber-optic-component.asp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9.8%.</t>
        </is>
      </c>
      <c r="D14" s="39" t="inlineStr">
        <is>
          <t>https://www.marketsandmarkets.com/PressReleases/fiber-optic-component.asp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Coherent, Lumentum, Broadcom, Sumitomo, Accelink, Cisco/Acacia, Furukawa.</t>
        </is>
      </c>
      <c r="D15" s="39" t="inlineStr">
        <is>
          <t>https://www.marketsandmarkets.com/PressReleases/fiber-optic-component.asp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FTTH and broadband rollout; 5G backhaul and fronthaul; AI / data-centre interconnect.</t>
        </is>
      </c>
      <c r="D16" s="39" t="inlineStr">
        <is>
          <t>https://www.marketsandmarkets.com/PressReleases/fiber-optic-component.asp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https://www.marketsandmarkets.com/PressReleases/fiber-optic-component.asp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Carrier capex delays; Vendor bans / geopolitics; Commodity price pressure.</t>
        </is>
      </c>
      <c r="D18" s="39" t="inlineStr">
        <is>
          <t>https://www.marketsandmarkets.com/PressReleases/fiber-optic-component.asp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FTTH and broadband rollout</t>
        </is>
      </c>
      <c r="B21" s="33" t="n">
        <v>9</v>
      </c>
      <c r="C21" s="22" t="inlineStr">
        <is>
          <t>Governments and operators continue extending fiber access.</t>
        </is>
      </c>
      <c r="E21" s="33" t="inlineStr">
        <is>
          <t>Carrier capex delays</t>
        </is>
      </c>
      <c r="F21" s="33" t="n">
        <v>7</v>
      </c>
      <c r="G21" s="22" t="inlineStr">
        <is>
          <t>Telecom spending is cyclical and can pause during macro stress.</t>
        </is>
      </c>
    </row>
    <row r="22" ht="57.6" customHeight="1" s="50">
      <c r="A22" s="33" t="inlineStr">
        <is>
          <t>5G backhaul and fronthaul</t>
        </is>
      </c>
      <c r="B22" s="33" t="n">
        <v>8</v>
      </c>
      <c r="C22" s="22" t="inlineStr">
        <is>
          <t>Mobile densification increases optical connectivity needs.</t>
        </is>
      </c>
      <c r="E22" s="33" t="inlineStr">
        <is>
          <t>Vendor bans / geopolitics</t>
        </is>
      </c>
      <c r="F22" s="33" t="n">
        <v>8</v>
      </c>
      <c r="G22" s="22" t="inlineStr">
        <is>
          <t>Restrictions on selected vendors reshape sourcing and standards.</t>
        </is>
      </c>
    </row>
    <row r="23" ht="57.6" customHeight="1" s="50">
      <c r="A23" s="33" t="inlineStr">
        <is>
          <t>AI / data-centre interconnect</t>
        </is>
      </c>
      <c r="B23" s="33" t="n">
        <v>8</v>
      </c>
      <c r="C23" s="22" t="inlineStr">
        <is>
          <t>Higher traffic and lower latency push optical upgrades.</t>
        </is>
      </c>
      <c r="E23" s="33" t="inlineStr">
        <is>
          <t>Commodity price pressure</t>
        </is>
      </c>
      <c r="F23" s="33" t="n">
        <v>6</v>
      </c>
      <c r="G23" s="22" t="inlineStr">
        <is>
          <t>Basic passive products face margin compression.</t>
        </is>
      </c>
    </row>
    <row r="24" ht="57.6" customHeight="1" s="50">
      <c r="A24" s="33" t="inlineStr">
        <is>
          <t>Public infrastructure programs</t>
        </is>
      </c>
      <c r="B24" s="33" t="n">
        <v>7</v>
      </c>
      <c r="C24" s="22" t="inlineStr">
        <is>
          <t>Subsidized rural and sovereign network projects support demand.</t>
        </is>
      </c>
      <c r="E24" s="33" t="inlineStr">
        <is>
          <t>Long qualification cycles</t>
        </is>
      </c>
      <c r="F24" s="33" t="n">
        <v>7</v>
      </c>
      <c r="G24" s="22" t="inlineStr">
        <is>
          <t>Carrier approvals slow entry and scale-up.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broadband programs help, but vendor restrictions and trade controls matter.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and Chinese suppliers compete aggressively on price and lead time.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Demand is real but carrier capex and financing cycles affect timing.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operators and distributors negotiate hard.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Connectivity remains a baseline service expectation.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Specialized optical components can tighten supply, but alternatives exist.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50G-PON, DCI, and AI traffic support upgrades.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Manufacturing is possible, but carrier qualification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Standards, certifications, and data-security rules influence vendors.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Fiber remains the preferred medium for high-capacity fixed access/backbone.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Operators seek lower-power, lower-loss networks.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Strategically attractive, but margin capture depends on position in the stack.</t>
        </is>
      </c>
    </row>
    <row r="37" ht="72" customHeight="1" s="50">
      <c r="C37" s="41" t="inlineStr">
        <is>
          <t>Priority rises if broadband rollout and AI-related optical demand reinforce each other in target regions.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target markets show funded FTTH / FTTx projects and stable operator purchasing.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Networking &amp; Data Systems</t>
        </is>
      </c>
    </row>
    <row r="2"/>
    <row r="4" ht="115.2" customHeight="1" s="50">
      <c r="A4" s="30" t="inlineStr">
        <is>
          <t>Definition</t>
        </is>
      </c>
      <c r="B4" s="13" t="inlineStr">
        <is>
          <t>Hardware and software systems that route, distribute, secure, and manage data traffic across enterprise, campus, carrier, and cloud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switches; routers; wireless access points; firewalls; structured cabling; network management platforms</t>
        </is>
      </c>
      <c r="C5" s="41" t="n"/>
      <c r="D5" s="6" t="inlineStr">
        <is>
          <t>Current market size ($m)</t>
        </is>
      </c>
      <c r="E5" s="4">
        <f>Industry_Data!C6</f>
        <v/>
      </c>
    </row>
    <row r="6" ht="43.2" customHeight="1" s="50">
      <c r="A6" s="30" t="inlineStr">
        <is>
          <t>Typical customers</t>
        </is>
      </c>
      <c r="B6" s="13" t="inlineStr">
        <is>
          <t>enterprises; IT integrators; telecom operators; cloud and service providers</t>
        </is>
      </c>
      <c r="C6" s="41" t="n"/>
      <c r="D6" s="6" t="inlineStr">
        <is>
          <t>Forecast market size ($m)</t>
        </is>
      </c>
      <c r="E6" s="4">
        <f>Industry_Data!D6</f>
        <v/>
      </c>
    </row>
    <row r="7" ht="57.6" customHeight="1" s="50">
      <c r="A7" s="30" t="inlineStr">
        <is>
          <t>Strategic note</t>
        </is>
      </c>
      <c r="B7" s="13" t="inlineStr">
        <is>
          <t>Benefits from enterprise digitalization, cloud migration, and traffic growth, but rivalry is intense.</t>
        </is>
      </c>
      <c r="C7" s="41" t="n"/>
      <c r="D7" s="6" t="inlineStr">
        <is>
          <t>CAGR</t>
        </is>
      </c>
      <c r="E7" s="31">
        <f>Industry_Data!E6</f>
        <v/>
      </c>
    </row>
    <row r="8">
      <c r="D8" s="6" t="inlineStr">
        <is>
          <t>Dominance score</t>
        </is>
      </c>
      <c r="E8" s="31">
        <f>Industry_Data!O6</f>
        <v/>
      </c>
    </row>
    <row r="9">
      <c r="D9" s="6" t="inlineStr">
        <is>
          <t>Rank</t>
        </is>
      </c>
      <c r="E9" s="32">
        <f>Industry_Data!P6</f>
        <v/>
      </c>
    </row>
    <row r="10">
      <c r="D10" s="6" t="inlineStr">
        <is>
          <t>Bucket</t>
        </is>
      </c>
      <c r="E10" s="4">
        <f>Industry_Data!Q6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124.59bn (2025/2025E aligned).</t>
        </is>
      </c>
      <c r="D12" s="39" t="inlineStr">
        <is>
          <t>https://www.marketsandmarkets.com/PressReleases/enterprise-networking.asp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193.77bn by 2030.</t>
        </is>
      </c>
      <c r="D13" s="39" t="inlineStr">
        <is>
          <t>https://www.marketsandmarkets.com/PressReleases/enterprise-networking.asp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9.2%.</t>
        </is>
      </c>
      <c r="D14" s="39" t="inlineStr">
        <is>
          <t>https://www.marketsandmarkets.com/PressReleases/enterprise-networking.asp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Cisco, HPE Aruba, Juniper, Huawei, H3C, Fortinet, Ubiquiti.</t>
        </is>
      </c>
      <c r="D15" s="39" t="inlineStr">
        <is>
          <t>https://www.marketsandmarkets.com/PressReleases/enterprise-networking.asp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Cloud migration; Wi-Fi / access upgrades; Secure networking.</t>
        </is>
      </c>
      <c r="D16" s="39" t="inlineStr">
        <is>
          <t>https://www.marketsandmarkets.com/PressReleases/enterprise-networking.asp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https://www.marketsandmarkets.com/PressReleases/enterprise-networking.asp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High rivalry; Vendor lock-in; Rapid refresh cycles.</t>
        </is>
      </c>
      <c r="D18" s="39" t="inlineStr">
        <is>
          <t>https://www.marketsandmarkets.com/PressReleases/enterprise-networking.asp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Cloud migration</t>
        </is>
      </c>
      <c r="B21" s="33" t="n">
        <v>8</v>
      </c>
      <c r="C21" s="22" t="inlineStr">
        <is>
          <t>More hybrid architectures require refresh of campus and edge networks.</t>
        </is>
      </c>
      <c r="E21" s="33" t="inlineStr">
        <is>
          <t>High rivalry</t>
        </is>
      </c>
      <c r="F21" s="33" t="n">
        <v>8</v>
      </c>
      <c r="G21" s="22" t="inlineStr">
        <is>
          <t>Strong brands and channel saturation compress margins.</t>
        </is>
      </c>
    </row>
    <row r="22" ht="57.6" customHeight="1" s="50">
      <c r="A22" s="33" t="inlineStr">
        <is>
          <t>Wi-Fi / access upgrades</t>
        </is>
      </c>
      <c r="B22" s="33" t="n">
        <v>8</v>
      </c>
      <c r="C22" s="22" t="inlineStr">
        <is>
          <t>Higher traffic and device density drive AP and switch demand.</t>
        </is>
      </c>
      <c r="E22" s="33" t="inlineStr">
        <is>
          <t>Vendor lock-in</t>
        </is>
      </c>
      <c r="F22" s="33" t="n">
        <v>7</v>
      </c>
      <c r="G22" s="22" t="inlineStr">
        <is>
          <t>Installed-base ecosystems make share capture harder.</t>
        </is>
      </c>
    </row>
    <row r="23" ht="43.2" customHeight="1" s="50">
      <c r="A23" s="33" t="inlineStr">
        <is>
          <t>Secure networking</t>
        </is>
      </c>
      <c r="B23" s="33" t="n">
        <v>8</v>
      </c>
      <c r="C23" s="22" t="inlineStr">
        <is>
          <t>SASE, SD-WAN, and segmentation raise value per deployment.</t>
        </is>
      </c>
      <c r="E23" s="33" t="inlineStr">
        <is>
          <t>Rapid refresh cycles</t>
        </is>
      </c>
      <c r="F23" s="33" t="n">
        <v>6</v>
      </c>
      <c r="G23" s="22" t="inlineStr">
        <is>
          <t>Inventory risk rises when standards change quickly.</t>
        </is>
      </c>
    </row>
    <row r="24" ht="57.6" customHeight="1" s="50">
      <c r="A24" s="33" t="inlineStr">
        <is>
          <t>Data traffic growth</t>
        </is>
      </c>
      <c r="B24" s="33" t="n">
        <v>7</v>
      </c>
      <c r="C24" s="22" t="inlineStr">
        <is>
          <t>Enterprise applications and video workloads keep networks expanding.</t>
        </is>
      </c>
      <c r="E24" s="33" t="inlineStr">
        <is>
          <t>Price competition</t>
        </is>
      </c>
      <c r="F24" s="33" t="n">
        <v>7</v>
      </c>
      <c r="G24" s="22" t="inlineStr">
        <is>
          <t>Hardware-only offers are vulnerable to discounting.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Procurement preferences and country restrictions matter in some tenders.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incumbents dominate share and ecosystem relationships.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Enterprise IT budgets slow in downturns but networking stays mission-critical.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enterprise and carrier buyers have many alternatives.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Always-on connectivity is expected across work and services.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Chipset dependencies matter, but multi-vendor sourcing is possible.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Cloud, Wi-Fi 7, SDN, and AI operations accelerate refresh.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Software-led entrants can win niches, but broad scale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Cybersecurity and compliance rules shape architecture choices.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Managed services and cloud networking can replace some on-prem demand.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Efficiency matters, but it is not the main buying trigger.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Useful adjacency, but differentiation must go beyond pure product resale.</t>
        </is>
      </c>
    </row>
    <row r="37" ht="72" customHeight="1" s="50">
      <c r="C37" s="41" t="inlineStr">
        <is>
          <t>Priority rises if PlanetFiber can bundle networking with security, datacenter, or smart-building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recurring services, integration pull-through, or exclusive vendor rights improve margins.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Security &amp; Surveillance</t>
        </is>
      </c>
    </row>
    <row r="2"/>
    <row r="4" ht="115.2" customHeight="1" s="50">
      <c r="A4" s="30" t="inlineStr">
        <is>
          <t>Definition</t>
        </is>
      </c>
      <c r="B4" s="13" t="inlineStr">
        <is>
          <t>Technologies used to monitor, control, and protect physical environments, assets, and people through integrated security and surveillance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57.6" customHeight="1" s="50">
      <c r="A5" s="30" t="inlineStr">
        <is>
          <t>Typical products / systems</t>
        </is>
      </c>
      <c r="B5" s="13" t="inlineStr">
        <is>
          <t>CCTV cameras; VMS; NVR/DVR; access control; alarms; perimeter systems</t>
        </is>
      </c>
      <c r="C5" s="41" t="n"/>
      <c r="D5" s="6" t="inlineStr">
        <is>
          <t>Current market size ($m)</t>
        </is>
      </c>
      <c r="E5" s="4">
        <f>Industry_Data!C7</f>
        <v/>
      </c>
    </row>
    <row r="6" ht="57.6" customHeight="1" s="50">
      <c r="A6" s="30" t="inlineStr">
        <is>
          <t>Typical customers</t>
        </is>
      </c>
      <c r="B6" s="13" t="inlineStr">
        <is>
          <t>security integrators; facility operators; government contractors; infrastructure developers</t>
        </is>
      </c>
      <c r="C6" s="41" t="n"/>
      <c r="D6" s="6" t="inlineStr">
        <is>
          <t>Forecast market size ($m)</t>
        </is>
      </c>
      <c r="E6" s="4">
        <f>Industry_Data!D7</f>
        <v/>
      </c>
    </row>
    <row r="7" ht="57.6" customHeight="1" s="50">
      <c r="A7" s="30" t="inlineStr">
        <is>
          <t>Strategic note</t>
        </is>
      </c>
      <c r="B7" s="13" t="inlineStr">
        <is>
          <t>Demand is shaped by safety budgets, regulation, and rising use of AI-enabled monitoring.</t>
        </is>
      </c>
      <c r="C7" s="41" t="n"/>
      <c r="D7" s="6" t="inlineStr">
        <is>
          <t>CAGR</t>
        </is>
      </c>
      <c r="E7" s="31">
        <f>Industry_Data!E7</f>
        <v/>
      </c>
    </row>
    <row r="8">
      <c r="D8" s="6" t="inlineStr">
        <is>
          <t>Dominance score</t>
        </is>
      </c>
      <c r="E8" s="31">
        <f>Industry_Data!O7</f>
        <v/>
      </c>
    </row>
    <row r="9">
      <c r="D9" s="6" t="inlineStr">
        <is>
          <t>Rank</t>
        </is>
      </c>
      <c r="E9" s="32">
        <f>Industry_Data!P7</f>
        <v/>
      </c>
    </row>
    <row r="10">
      <c r="D10" s="6" t="inlineStr">
        <is>
          <t>Bucket</t>
        </is>
      </c>
      <c r="E10" s="4">
        <f>Industry_Data!Q7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120.79bn (2025/2025E aligned).</t>
        </is>
      </c>
      <c r="D12" s="39" t="inlineStr">
        <is>
          <t>https://www.marketsandmarkets.com/Market-Reports/physical-security-market-1014.html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151.50bn by 2030.</t>
        </is>
      </c>
      <c r="D13" s="39" t="inlineStr">
        <is>
          <t>https://www.marketsandmarkets.com/Market-Reports/physical-security-market-1014.html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4.6%.</t>
        </is>
      </c>
      <c r="D14" s="39" t="inlineStr">
        <is>
          <t>https://www.marketsandmarkets.com/Market-Reports/physical-security-market-1014.html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Hikvision, Dahua, Axis, Hanwha Vision, Bosch, Honeywell, Motorola Solutions.</t>
        </is>
      </c>
      <c r="D15" s="39" t="inlineStr">
        <is>
          <t>https://www.marketsandmarkets.com/Market-Reports/physical-security-market-1014.html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Critical-infrastructure protection; AI analytics; Urbanization and real-estate projects.</t>
        </is>
      </c>
      <c r="D16" s="39" t="inlineStr">
        <is>
          <t>https://www.marketsandmarkets.com/Market-Reports/physical-security-market-1014.html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https://www.marketsandmarkets.com/Market-Reports/physical-security-market-1014.html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Privacy and cyber rules; Hardware commoditization; Geopolitical vendor scrutiny.</t>
        </is>
      </c>
      <c r="D18" s="39" t="inlineStr">
        <is>
          <t>https://www.marketsandmarkets.com/Market-Reports/physical-security-market-1014.html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Critical-infrastructure protection</t>
        </is>
      </c>
      <c r="B21" s="33" t="n">
        <v>8</v>
      </c>
      <c r="C21" s="22" t="inlineStr">
        <is>
          <t>Governments and enterprises continue raising protection budgets.</t>
        </is>
      </c>
      <c r="E21" s="33" t="inlineStr">
        <is>
          <t>Privacy and cyber rules</t>
        </is>
      </c>
      <c r="F21" s="33" t="n">
        <v>8</v>
      </c>
      <c r="G21" s="22" t="inlineStr">
        <is>
          <t>Compliance requirements increase solution complexity.</t>
        </is>
      </c>
    </row>
    <row r="22" ht="43.2" customHeight="1" s="50">
      <c r="A22" s="33" t="inlineStr">
        <is>
          <t>AI analytics</t>
        </is>
      </c>
      <c r="B22" s="33" t="n">
        <v>8</v>
      </c>
      <c r="C22" s="22" t="inlineStr">
        <is>
          <t>Video shifts from recording to operational intelligence.</t>
        </is>
      </c>
      <c r="E22" s="33" t="inlineStr">
        <is>
          <t>Hardware commoditization</t>
        </is>
      </c>
      <c r="F22" s="33" t="n">
        <v>7</v>
      </c>
      <c r="G22" s="22" t="inlineStr">
        <is>
          <t>Camera hardware faces intense price pressure.</t>
        </is>
      </c>
    </row>
    <row r="23" ht="43.2" customHeight="1" s="50">
      <c r="A23" s="33" t="inlineStr">
        <is>
          <t>Urbanization and real-estate projects</t>
        </is>
      </c>
      <c r="B23" s="33" t="n">
        <v>7</v>
      </c>
      <c r="C23" s="22" t="inlineStr">
        <is>
          <t>New facilities require integrated monitoring and access.</t>
        </is>
      </c>
      <c r="E23" s="33" t="inlineStr">
        <is>
          <t>Geopolitical vendor scrutiny</t>
        </is>
      </c>
      <c r="F23" s="33" t="n">
        <v>7</v>
      </c>
      <c r="G23" s="22" t="inlineStr">
        <is>
          <t>Public tenders may exclude selected brands.</t>
        </is>
      </c>
    </row>
    <row r="24" ht="43.2" customHeight="1" s="50">
      <c r="A24" s="33" t="inlineStr">
        <is>
          <t>Insurance / compliance requirements</t>
        </is>
      </c>
      <c r="B24" s="33" t="n">
        <v>7</v>
      </c>
      <c r="C24" s="22" t="inlineStr">
        <is>
          <t>Risk management sustains baseline demand.</t>
        </is>
      </c>
      <c r="E24" s="33" t="inlineStr">
        <is>
          <t>Project quality risk</t>
        </is>
      </c>
      <c r="F24" s="33" t="n">
        <v>6</v>
      </c>
      <c r="G24" s="22" t="inlineStr">
        <is>
          <t>Poor installation harms performance and reputation.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security spending helps, but vendor approvals vary by market.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Many hardware vendors compete globally and regionally.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Security budgets are relatively resilient compared with discretionary capex.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Integrators and end users can switch, but project complexity reduces comparability.</t>
        </is>
      </c>
    </row>
    <row r="32" ht="57.6" customHeight="1" s="50">
      <c r="A32" s="13" t="inlineStr">
        <is>
          <t>Social</t>
        </is>
      </c>
      <c r="B32" s="33" t="inlineStr">
        <is>
          <t>High</t>
        </is>
      </c>
      <c r="C32" s="22" t="inlineStr">
        <is>
          <t>Safety concerns support persistent demand.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Key components matter, but the vendor base is broad.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 analytics, cloud VMS, and edge processing expand value.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Assembly entry is feasible; trusted brands and channels are harder to build.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Privacy, retention, and cyber rules are central to product selection.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Security functions remain required even if technology mix changes.</t>
        </is>
      </c>
    </row>
    <row r="35" ht="72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Power efficiency matters but is secondary.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Good fit when bundled with integration and compliance know-how.</t>
        </is>
      </c>
    </row>
    <row r="37" ht="57.6" customHeight="1" s="50">
      <c r="C37" s="41" t="inlineStr">
        <is>
          <t>Priority rises if security is sold as an integrated systems stack, not just camera hardware.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your channels can win regulated verticals and service-heavy projects.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Smart Building &amp; IoT Systems</t>
        </is>
      </c>
    </row>
    <row r="2"/>
    <row r="4" ht="129.6" customHeight="1" s="50">
      <c r="A4" s="30" t="inlineStr">
        <is>
          <t>Definition</t>
        </is>
      </c>
      <c r="B4" s="13" t="inlineStr">
        <is>
          <t>Connected building systems that integrate sensors, controllers, software, and devices to optimize building operations, energy use, communications, and user experience.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72" customHeight="1" s="50">
      <c r="A5" s="30" t="inlineStr">
        <is>
          <t>Typical products / systems</t>
        </is>
      </c>
      <c r="B5" s="13" t="inlineStr">
        <is>
          <t>BMS; intercom; access control; IoT sensors; automation controllers; smart office and smart home devices</t>
        </is>
      </c>
      <c r="C5" s="41" t="n"/>
      <c r="D5" s="6" t="inlineStr">
        <is>
          <t>Current market size ($m)</t>
        </is>
      </c>
      <c r="E5" s="4">
        <f>Industry_Data!C8</f>
        <v/>
      </c>
    </row>
    <row r="6" ht="57.6" customHeight="1" s="50">
      <c r="A6" s="30" t="inlineStr">
        <is>
          <t>Typical customers</t>
        </is>
      </c>
      <c r="B6" s="13" t="inlineStr">
        <is>
          <t>developers; EPCs; smart-building integrators; facility managers; real estate owners</t>
        </is>
      </c>
      <c r="C6" s="41" t="n"/>
      <c r="D6" s="6" t="inlineStr">
        <is>
          <t>Forecast market size ($m)</t>
        </is>
      </c>
      <c r="E6" s="4">
        <f>Industry_Data!D8</f>
        <v/>
      </c>
    </row>
    <row r="7" ht="72" customHeight="1" s="50">
      <c r="A7" s="30" t="inlineStr">
        <is>
          <t>Strategic note</t>
        </is>
      </c>
      <c r="B7" s="13" t="inlineStr">
        <is>
          <t>High-growth domain tied to efficiency retrofits, premium real estate, and smart-city investment.</t>
        </is>
      </c>
      <c r="C7" s="41" t="n"/>
      <c r="D7" s="6" t="inlineStr">
        <is>
          <t>CAGR</t>
        </is>
      </c>
      <c r="E7" s="31">
        <f>Industry_Data!E8</f>
        <v/>
      </c>
    </row>
    <row r="8">
      <c r="D8" s="6" t="inlineStr">
        <is>
          <t>Dominance score</t>
        </is>
      </c>
      <c r="E8" s="31">
        <f>Industry_Data!O8</f>
        <v/>
      </c>
    </row>
    <row r="9">
      <c r="D9" s="6" t="inlineStr">
        <is>
          <t>Rank</t>
        </is>
      </c>
      <c r="E9" s="32">
        <f>Industry_Data!P8</f>
        <v/>
      </c>
    </row>
    <row r="10">
      <c r="D10" s="6" t="inlineStr">
        <is>
          <t>Bucket</t>
        </is>
      </c>
      <c r="E10" s="4">
        <f>Industry_Data!Q8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141.79bn (2025/2025E aligned).</t>
        </is>
      </c>
      <c r="D12" s="39" t="inlineStr">
        <is>
          <t>https://www.grandviewresearch.com/industry-analysis/global-smart-buildings-market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336.94bn by 2030.</t>
        </is>
      </c>
      <c r="D13" s="39" t="inlineStr">
        <is>
          <t>https://www.grandviewresearch.com/industry-analysis/global-smart-buildings-market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18.9%.</t>
        </is>
      </c>
      <c r="D14" s="39" t="inlineStr">
        <is>
          <t>https://www.grandviewresearch.com/industry-analysis/global-smart-buildings-market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Siemens, Honeywell, Johnson Controls, ABB, Legrand.</t>
        </is>
      </c>
      <c r="D15" s="39" t="inlineStr">
        <is>
          <t>https://www.grandviewresearch.com/industry-analysis/global-smart-buildings-market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Energy-efficiency retrofits; IoT/BMS integration; Smart-city and premium real estate.</t>
        </is>
      </c>
      <c r="D16" s="39" t="inlineStr">
        <is>
          <t>https://www.grandviewresearch.com/industry-analysis/global-smart-buildings-market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https://www.grandviewresearch.com/industry-analysis/global-smart-buildings-market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Interoperability issues; Long project cycles; Retrofit complexity.</t>
        </is>
      </c>
      <c r="D18" s="39" t="inlineStr">
        <is>
          <t>https://www.grandviewresearch.com/industry-analysis/global-smart-buildings-market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Energy-efficiency retrofits</t>
        </is>
      </c>
      <c r="B21" s="33" t="n">
        <v>9</v>
      </c>
      <c r="C21" s="22" t="inlineStr">
        <is>
          <t>Owners are upgrading controls to reduce operating cost.</t>
        </is>
      </c>
      <c r="E21" s="33" t="inlineStr">
        <is>
          <t>Interoperability issues</t>
        </is>
      </c>
      <c r="F21" s="33" t="n">
        <v>7</v>
      </c>
      <c r="G21" s="22" t="inlineStr">
        <is>
          <t>Mixed standards increase engineering complexity.</t>
        </is>
      </c>
    </row>
    <row r="22" ht="43.2" customHeight="1" s="50">
      <c r="A22" s="33" t="inlineStr">
        <is>
          <t>IoT/BMS integration</t>
        </is>
      </c>
      <c r="B22" s="33" t="n">
        <v>8</v>
      </c>
      <c r="C22" s="22" t="inlineStr">
        <is>
          <t>Buildings increasingly act as managed digital assets.</t>
        </is>
      </c>
      <c r="E22" s="33" t="inlineStr">
        <is>
          <t>Long project cycles</t>
        </is>
      </c>
      <c r="F22" s="33" t="n">
        <v>7</v>
      </c>
      <c r="G22" s="22" t="inlineStr">
        <is>
          <t>Construction timing creates long cash-conversion periods.</t>
        </is>
      </c>
    </row>
    <row r="23" ht="43.2" customHeight="1" s="50">
      <c r="A23" s="33" t="inlineStr">
        <is>
          <t>Smart-city and premium real estate</t>
        </is>
      </c>
      <c r="B23" s="33" t="n">
        <v>8</v>
      </c>
      <c r="C23" s="22" t="inlineStr">
        <is>
          <t>New developments specify integrated low-current systems.</t>
        </is>
      </c>
      <c r="E23" s="33" t="inlineStr">
        <is>
          <t>Retrofit complexity</t>
        </is>
      </c>
      <c r="F23" s="33" t="n">
        <v>6</v>
      </c>
      <c r="G23" s="22" t="inlineStr">
        <is>
          <t>Legacy buildings can be costly to upgrade.</t>
        </is>
      </c>
    </row>
    <row r="24" ht="57.6" customHeight="1" s="50">
      <c r="A24" s="33" t="inlineStr">
        <is>
          <t>Hospitality / office modernization</t>
        </is>
      </c>
      <c r="B24" s="33" t="n">
        <v>7</v>
      </c>
      <c r="C24" s="22" t="inlineStr">
        <is>
          <t>Guest and user experience drives automation demand.</t>
        </is>
      </c>
      <c r="E24" s="33" t="inlineStr">
        <is>
          <t>Fragmented procurement</t>
        </is>
      </c>
      <c r="F24" s="33" t="n">
        <v>6</v>
      </c>
      <c r="G24" s="22" t="inlineStr">
        <is>
          <t>Decisions may be split across developers, EPCs, and operators.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Smart-city and building-efficiency policies support demand.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Many vendors exist, but systems integration reduces pure price comparability.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Construction cycles affect timing, but retrofit ROI can sustain projects.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Owners and developers are powerful but often rely on trusted integrators.</t>
        </is>
      </c>
    </row>
    <row r="32" ht="43.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Users increasingly expect safer, greener, smarter environments.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No single hardware category dominates the entire solution.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IoT, analytics, and control platforms are core value drivers.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possible, but interoperability and project delivery matter.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Energy codes, safety rules, and access-control requirements help adoption.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Basic non-smart systems remain cheaper in low-end projects.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Efficiency and emissions pressure strongly support smart building investments.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Strong strategic adjacency to security, AV, and low-current integration.</t>
        </is>
      </c>
    </row>
    <row r="37" ht="72" customHeight="1" s="50">
      <c r="C37" s="41" t="inlineStr">
        <is>
          <t>Priority rises if the ecosystem can combine devices, sourcing, and integration for retrofit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target countries show strong energy rules, real-estate activity, and smart-city spending.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Data Centre &amp; AI Infrastructure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High-performance infrastructure used to support cloud, storage, compute, and AI workloads, including dense connectivity, power, and cooling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15.2" customHeight="1" s="50">
      <c r="A5" s="30" t="inlineStr">
        <is>
          <t>Typical products / systems</t>
        </is>
      </c>
      <c r="B5" s="13" t="inlineStr">
        <is>
          <t>high-speed optical interconnects; racks; structured connectivity; power distribution; cooling systems</t>
        </is>
      </c>
      <c r="C5" s="41" t="n"/>
      <c r="D5" s="6" t="inlineStr">
        <is>
          <t>Current market size ($m)</t>
        </is>
      </c>
      <c r="E5" s="4">
        <f>Industry_Data!C9</f>
        <v/>
      </c>
    </row>
    <row r="6" ht="86.40000000000001" customHeight="1" s="50">
      <c r="A6" s="30" t="inlineStr">
        <is>
          <t>Typical customers</t>
        </is>
      </c>
      <c r="B6" s="13" t="inlineStr">
        <is>
          <t>hyperscalers; colocation operators; cloud providers; AI infrastructure companies; governments</t>
        </is>
      </c>
      <c r="C6" s="41" t="n"/>
      <c r="D6" s="6" t="inlineStr">
        <is>
          <t>Forecast market size ($m)</t>
        </is>
      </c>
      <c r="E6" s="4">
        <f>Industry_Data!D9</f>
        <v/>
      </c>
    </row>
    <row r="7" ht="72" customHeight="1" s="50">
      <c r="A7" s="30" t="inlineStr">
        <is>
          <t>Strategic note</t>
        </is>
      </c>
      <c r="B7" s="13" t="inlineStr">
        <is>
          <t>Fastest strategic growth cluster, but constrained by power, capital intensity, and technical complexity.</t>
        </is>
      </c>
      <c r="C7" s="41" t="n"/>
      <c r="D7" s="6" t="inlineStr">
        <is>
          <t>CAGR</t>
        </is>
      </c>
      <c r="E7" s="31">
        <f>Industry_Data!E9</f>
        <v/>
      </c>
    </row>
    <row r="8">
      <c r="D8" s="6" t="inlineStr">
        <is>
          <t>Dominance score</t>
        </is>
      </c>
      <c r="E8" s="31">
        <f>Industry_Data!O9</f>
        <v/>
      </c>
    </row>
    <row r="9">
      <c r="D9" s="6" t="inlineStr">
        <is>
          <t>Rank</t>
        </is>
      </c>
      <c r="E9" s="32">
        <f>Industry_Data!P9</f>
        <v/>
      </c>
    </row>
    <row r="10">
      <c r="D10" s="6" t="inlineStr">
        <is>
          <t>Bucket</t>
        </is>
      </c>
      <c r="E10" s="4">
        <f>Industry_Data!Q9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356.70bn (2025/2025E aligned).</t>
        </is>
      </c>
      <c r="D12" s="39" t="inlineStr">
        <is>
          <t>https://iot-analytics.com/data-center-infrastructure-market/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1010.00bn by 2030.</t>
        </is>
      </c>
      <c r="D13" s="39" t="inlineStr">
        <is>
          <t>https://iot-analytics.com/data-center-infrastructure-market/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23.1%.</t>
        </is>
      </c>
      <c r="D14" s="39" t="inlineStr">
        <is>
          <t>https://iot-analytics.com/data-center-infrastructure-market/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Vertiv, Eaton, Dell, HPE, Huawei Digital Power, Supermicro.</t>
        </is>
      </c>
      <c r="D15" s="39" t="inlineStr">
        <is>
          <t>https://iot-analytics.com/data-center-infrastructure-market/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AI model training and inference; Hyperscaler and colocation capex; Sovereign data / localization.</t>
        </is>
      </c>
      <c r="D16" s="39" t="inlineStr">
        <is>
          <t>https://iot-analytics.com/data-center-infrastructure-market/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https://iot-analytics.com/data-center-infrastructure-market/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Power availability; Capital intensity; Procurement concentration.</t>
        </is>
      </c>
      <c r="D18" s="39" t="inlineStr">
        <is>
          <t>https://iot-analytics.com/data-center-infrastructure-market/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AI model training and inference</t>
        </is>
      </c>
      <c r="B21" s="33" t="n">
        <v>10</v>
      </c>
      <c r="C21" s="22" t="inlineStr">
        <is>
          <t>GPU clusters drive rapid expansion in dense infrastructure.</t>
        </is>
      </c>
      <c r="E21" s="33" t="inlineStr">
        <is>
          <t>Power availability</t>
        </is>
      </c>
      <c r="F21" s="33" t="n">
        <v>10</v>
      </c>
      <c r="G21" s="22" t="inlineStr">
        <is>
          <t>Grid constraints can delay projects.</t>
        </is>
      </c>
    </row>
    <row r="22" ht="43.2" customHeight="1" s="50">
      <c r="A22" s="33" t="inlineStr">
        <is>
          <t>Hyperscaler and colocation capex</t>
        </is>
      </c>
      <c r="B22" s="33" t="n">
        <v>9</v>
      </c>
      <c r="C22" s="22" t="inlineStr">
        <is>
          <t>Large operators are scaling new capacity aggressively.</t>
        </is>
      </c>
      <c r="E22" s="33" t="inlineStr">
        <is>
          <t>Capital intensity</t>
        </is>
      </c>
      <c r="F22" s="33" t="n">
        <v>9</v>
      </c>
      <c r="G22" s="22" t="inlineStr">
        <is>
          <t>Large budgets and long lead times raise execution risk.</t>
        </is>
      </c>
    </row>
    <row r="23" ht="43.2" customHeight="1" s="50">
      <c r="A23" s="33" t="inlineStr">
        <is>
          <t>Sovereign data / localization</t>
        </is>
      </c>
      <c r="B23" s="33" t="n">
        <v>7</v>
      </c>
      <c r="C23" s="22" t="inlineStr">
        <is>
          <t>Governments want more local compute and storage.</t>
        </is>
      </c>
      <c r="E23" s="33" t="inlineStr">
        <is>
          <t>Procurement concentration</t>
        </is>
      </c>
      <c r="F23" s="33" t="n">
        <v>8</v>
      </c>
      <c r="G23" s="22" t="inlineStr">
        <is>
          <t>Hyperscalers and a few major buyers dominate.</t>
        </is>
      </c>
    </row>
    <row r="24" ht="43.2" customHeight="1" s="50">
      <c r="A24" s="33" t="inlineStr">
        <is>
          <t>Optical + power + cooling upgrades</t>
        </is>
      </c>
      <c r="B24" s="33" t="n">
        <v>9</v>
      </c>
      <c r="C24" s="22" t="inlineStr">
        <is>
          <t>AI loads require new interconnect and facility designs.</t>
        </is>
      </c>
      <c r="E24" s="33" t="inlineStr">
        <is>
          <t>Technology obsolescence</t>
        </is>
      </c>
      <c r="F24" s="33" t="n">
        <v>7</v>
      </c>
      <c r="G24" s="22" t="inlineStr">
        <is>
          <t>Fast architecture shifts can strand inventory.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National AI strategies and sovereign-data policies support investment.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Competition is real, but capability bottlenecks keep supply relatively tight.</t>
        </is>
      </c>
    </row>
    <row r="31" ht="7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AI capex remains robust, but financing and power costs matter.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Hyperscalers and colos are sophisticated, concentrated buyers.</t>
        </is>
      </c>
    </row>
    <row r="32" ht="57.6" customHeight="1" s="50">
      <c r="A32" s="13" t="inlineStr">
        <is>
          <t>Social</t>
        </is>
      </c>
      <c r="B32" s="33" t="inlineStr">
        <is>
          <t>Low</t>
        </is>
      </c>
      <c r="C32" s="22" t="inlineStr">
        <is>
          <t>Demand is indirect; the main driver is enterprise and platform adoption.</t>
        </is>
      </c>
      <c r="E32" s="13" t="inlineStr">
        <is>
          <t>Supplier power</t>
        </is>
      </c>
      <c r="F32" s="33" t="inlineStr">
        <is>
          <t>High</t>
        </is>
      </c>
      <c r="G32" s="22" t="inlineStr">
        <is>
          <t>Critical chips, power equipment, and specialized cooling can be constrained.</t>
        </is>
      </c>
    </row>
    <row r="33" ht="43.2" customHeight="1" s="50">
      <c r="A33" s="13" t="inlineStr">
        <is>
          <t>Technological</t>
        </is>
      </c>
      <c r="B33" s="33" t="inlineStr">
        <is>
          <t>Very High</t>
        </is>
      </c>
      <c r="C33" s="22" t="inlineStr">
        <is>
          <t>AI workloads are the central demand engine.</t>
        </is>
      </c>
      <c r="E33" s="13" t="inlineStr">
        <is>
          <t>New entrants</t>
        </is>
      </c>
      <c r="F33" s="33" t="inlineStr">
        <is>
          <t>Low</t>
        </is>
      </c>
      <c r="G33" s="22" t="inlineStr">
        <is>
          <t>Capital, expertise, and power access create high barriers.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Data sovereignty and environmental permitting affect build timing.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There is no true substitute for AI-capable compute infrastructure.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Energy, water, and carbon constraints shape project viability.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Most attractive macro domain, but requires selective adjacency strategy.</t>
        </is>
      </c>
    </row>
    <row r="37" ht="100.8" customHeight="1" s="50">
      <c r="C37" s="41" t="inlineStr">
        <is>
          <t>Priority rises if PlanetFiber focuses on feasible adjacencies—optics, cabling, racks, and regional sourcing support.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only where you can enter with supplier partnerships, not by trying to own hyperscale build-outs.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Robotics &amp; Intelligent Devices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Automated and AI-enabled machines used to perform physical or service tasks with limited human intervention across commercial, logistics, and operational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service robots; delivery robots; cleaning robots; warehouse robots; robot control systems; AI sensors</t>
        </is>
      </c>
      <c r="C5" s="41" t="n"/>
      <c r="D5" s="6" t="inlineStr">
        <is>
          <t>Current market size ($m)</t>
        </is>
      </c>
      <c r="E5" s="4">
        <f>Industry_Data!C10</f>
        <v/>
      </c>
    </row>
    <row r="6" ht="57.6" customHeight="1" s="50">
      <c r="A6" s="30" t="inlineStr">
        <is>
          <t>Typical customers</t>
        </is>
      </c>
      <c r="B6" s="13" t="inlineStr">
        <is>
          <t>logistics operators; hospitals; hotels; retailers; automation integrators; industrial users</t>
        </is>
      </c>
      <c r="C6" s="41" t="n"/>
      <c r="D6" s="6" t="inlineStr">
        <is>
          <t>Forecast market size ($m)</t>
        </is>
      </c>
      <c r="E6" s="4">
        <f>Industry_Data!D10</f>
        <v/>
      </c>
    </row>
    <row r="7" ht="86.40000000000001" customHeight="1" s="50">
      <c r="A7" s="30" t="inlineStr">
        <is>
          <t>Strategic note</t>
        </is>
      </c>
      <c r="B7" s="13" t="inlineStr">
        <is>
          <t>High upside from labor shortages and automation, but adoption depends on ROI and integration maturity.</t>
        </is>
      </c>
      <c r="C7" s="41" t="n"/>
      <c r="D7" s="6" t="inlineStr">
        <is>
          <t>CAGR</t>
        </is>
      </c>
      <c r="E7" s="31">
        <f>Industry_Data!E10</f>
        <v/>
      </c>
    </row>
    <row r="8">
      <c r="D8" s="6" t="inlineStr">
        <is>
          <t>Dominance score</t>
        </is>
      </c>
      <c r="E8" s="31">
        <f>Industry_Data!O10</f>
        <v/>
      </c>
    </row>
    <row r="9">
      <c r="D9" s="6" t="inlineStr">
        <is>
          <t>Rank</t>
        </is>
      </c>
      <c r="E9" s="32">
        <f>Industry_Data!P10</f>
        <v/>
      </c>
    </row>
    <row r="10">
      <c r="D10" s="6" t="inlineStr">
        <is>
          <t>Bucket</t>
        </is>
      </c>
      <c r="E10" s="4">
        <f>Industry_Data!Q10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40.80bn (2025/2025E aligned).</t>
        </is>
      </c>
      <c r="D12" s="39" t="inlineStr">
        <is>
          <t>https://www.knowledge-sourcing.com/report/service-robot-market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99.10bn by 2030.</t>
        </is>
      </c>
      <c r="D13" s="39" t="inlineStr">
        <is>
          <t>https://www.knowledge-sourcing.com/report/service-robot-market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19.4%.</t>
        </is>
      </c>
      <c r="D14" s="39" t="inlineStr">
        <is>
          <t>https://www.knowledge-sourcing.com/report/service-robot-market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ABB, Fanuc, KUKA, Pudu, Keenon, SoftBank Robotics, Unitree.</t>
        </is>
      </c>
      <c r="D15" s="39" t="inlineStr">
        <is>
          <t>https://www.knowledge-sourcing.com/report/service-robot-market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Labor shortages; Warehouse / fulfillment automation; Hospitality / healthcare service robots.</t>
        </is>
      </c>
      <c r="D16" s="39" t="inlineStr">
        <is>
          <t>https://www.knowledge-sourcing.com/report/service-robot-market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https://www.knowledge-sourcing.com/report/service-robot-market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ROI uncertainty; Safety and compliance; Integration / service burden.</t>
        </is>
      </c>
      <c r="D18" s="39" t="inlineStr">
        <is>
          <t>https://www.knowledge-sourcing.com/report/service-robot-market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Labor shortages</t>
        </is>
      </c>
      <c r="B21" s="33" t="n">
        <v>8</v>
      </c>
      <c r="C21" s="22" t="inlineStr">
        <is>
          <t>Service and logistics operators look for labor-saving tools.</t>
        </is>
      </c>
      <c r="E21" s="33" t="inlineStr">
        <is>
          <t>ROI uncertainty</t>
        </is>
      </c>
      <c r="F21" s="33" t="n">
        <v>8</v>
      </c>
      <c r="G21" s="22" t="inlineStr">
        <is>
          <t>Customers often require pilots before scale decisions.</t>
        </is>
      </c>
    </row>
    <row r="22" ht="57.6" customHeight="1" s="50">
      <c r="A22" s="33" t="inlineStr">
        <is>
          <t>Warehouse / fulfillment automation</t>
        </is>
      </c>
      <c r="B22" s="33" t="n">
        <v>8</v>
      </c>
      <c r="C22" s="22" t="inlineStr">
        <is>
          <t>E-commerce and throughput needs push deployment.</t>
        </is>
      </c>
      <c r="E22" s="33" t="inlineStr">
        <is>
          <t>Safety and compliance</t>
        </is>
      </c>
      <c r="F22" s="33" t="n">
        <v>7</v>
      </c>
      <c r="G22" s="22" t="inlineStr">
        <is>
          <t>Robots in public environments require careful validation.</t>
        </is>
      </c>
    </row>
    <row r="23" ht="43.2" customHeight="1" s="50">
      <c r="A23" s="33" t="inlineStr">
        <is>
          <t>Hospitality / healthcare service robots</t>
        </is>
      </c>
      <c r="B23" s="33" t="n">
        <v>7</v>
      </c>
      <c r="C23" s="22" t="inlineStr">
        <is>
          <t>Cleaning, delivery, and front-of-house use cases are growing.</t>
        </is>
      </c>
      <c r="E23" s="33" t="inlineStr">
        <is>
          <t>Integration / service burden</t>
        </is>
      </c>
      <c r="F23" s="33" t="n">
        <v>7</v>
      </c>
      <c r="G23" s="22" t="inlineStr">
        <is>
          <t>Uptime and support capability matter.</t>
        </is>
      </c>
    </row>
    <row r="24" ht="43.2" customHeight="1" s="50">
      <c r="A24" s="33" t="inlineStr">
        <is>
          <t>AI perception and autonomy</t>
        </is>
      </c>
      <c r="B24" s="33" t="n">
        <v>8</v>
      </c>
      <c r="C24" s="22" t="inlineStr">
        <is>
          <t>Improved intelligence broadens viable tasks.</t>
        </is>
      </c>
      <c r="E24" s="33" t="inlineStr">
        <is>
          <t>Technology hype risk</t>
        </is>
      </c>
      <c r="F24" s="33" t="n">
        <v>6</v>
      </c>
      <c r="G24" s="22" t="inlineStr">
        <is>
          <t>Humanoid interest can run ahead of practical adoption.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Policy matters less than commercial viability, except in strategic manufacturing.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The field is crowded, but many segments remain early-stage.</t>
        </is>
      </c>
    </row>
    <row r="31" ht="43.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Higher wages support adoption, but budgets still require proven ROI.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Large buyers test heavily before scaling.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Acceptance is improving, but frontline deployment still needs trust.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Core components matter, but alternatives are improving.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AI, sensors, and battery advances are central enablers.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possible; scaling service quality is harder.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Safety standards and liability rules affect go-live speed.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Human labor remains the main substitute where wages are low.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Sustainability is supportive but not the primary purchase driver.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Promising growth option, but not yet the safest core priority.</t>
        </is>
      </c>
    </row>
    <row r="37" ht="72" customHeight="1" s="50">
      <c r="C37" s="41" t="inlineStr">
        <is>
          <t>Priority rises if the ecosystem can build a focused, serviceable robotics niche rather than chasing broad hype.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after pilots prove ROI in one or two repeatable verticals.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Commercial Electronics &amp; Visual Systems</t>
        </is>
      </c>
    </row>
    <row r="2"/>
    <row r="4" ht="144" customHeight="1" s="50">
      <c r="A4" s="30" t="inlineStr">
        <is>
          <t>Definition</t>
        </is>
      </c>
      <c r="B4" s="13" t="inlineStr">
        <is>
          <t>Electronic and display-based systems used in commercial, professional, and public environments for visualization, communication, collaboration, and monitoring.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commercial displays; video walls; digital signage; control room screens; conferencing systems</t>
        </is>
      </c>
      <c r="C5" s="41" t="n"/>
      <c r="D5" s="6" t="inlineStr">
        <is>
          <t>Current market size ($m)</t>
        </is>
      </c>
      <c r="E5" s="4">
        <f>Industry_Data!C11</f>
        <v/>
      </c>
    </row>
    <row r="6" ht="57.6" customHeight="1" s="50">
      <c r="A6" s="30" t="inlineStr">
        <is>
          <t>Typical customers</t>
        </is>
      </c>
      <c r="B6" s="13" t="inlineStr">
        <is>
          <t>AV integrators; enterprises; retail chains; public facilities; transport hubs; control centers</t>
        </is>
      </c>
      <c r="C6" s="41" t="n"/>
      <c r="D6" s="6" t="inlineStr">
        <is>
          <t>Forecast market size ($m)</t>
        </is>
      </c>
      <c r="E6" s="4">
        <f>Industry_Data!D11</f>
        <v/>
      </c>
    </row>
    <row r="7" ht="72" customHeight="1" s="50">
      <c r="A7" s="30" t="inlineStr">
        <is>
          <t>Strategic note</t>
        </is>
      </c>
      <c r="B7" s="13" t="inlineStr">
        <is>
          <t>Useful adjacent domain, though more capex-cyclical and price-driven than core infrastructure categories.</t>
        </is>
      </c>
      <c r="C7" s="41" t="n"/>
      <c r="D7" s="6" t="inlineStr">
        <is>
          <t>CAGR</t>
        </is>
      </c>
      <c r="E7" s="31">
        <f>Industry_Data!E11</f>
        <v/>
      </c>
    </row>
    <row r="8">
      <c r="D8" s="6" t="inlineStr">
        <is>
          <t>Dominance score</t>
        </is>
      </c>
      <c r="E8" s="31">
        <f>Industry_Data!O11</f>
        <v/>
      </c>
    </row>
    <row r="9">
      <c r="D9" s="6" t="inlineStr">
        <is>
          <t>Rank</t>
        </is>
      </c>
      <c r="E9" s="32">
        <f>Industry_Data!P11</f>
        <v/>
      </c>
    </row>
    <row r="10">
      <c r="D10" s="6" t="inlineStr">
        <is>
          <t>Bucket</t>
        </is>
      </c>
      <c r="E10" s="4">
        <f>Industry_Data!Q11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57.24bn (2025/2025E aligned).</t>
        </is>
      </c>
      <c r="D12" s="39" t="inlineStr">
        <is>
          <t>https://www.grandviewresearch.com/industry-analysis/commercial-display-market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78.48bn by 2030.</t>
        </is>
      </c>
      <c r="D13" s="39" t="inlineStr">
        <is>
          <t>https://www.grandviewresearch.com/industry-analysis/commercial-display-market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6.5%.</t>
        </is>
      </c>
      <c r="D14" s="39" t="inlineStr">
        <is>
          <t>https://www.grandviewresearch.com/industry-analysis/commercial-display-market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Samsung, LG, Leyard/Planar, Barco, Sharp/NEC, PPDS/Philips.</t>
        </is>
      </c>
      <c r="D15" s="39" t="inlineStr">
        <is>
          <t>https://www.grandviewresearch.com/industry-analysis/commercial-display-market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Retail and DOOH modernization; Transport and public information systems; Control rooms and monitoring.</t>
        </is>
      </c>
      <c r="D16" s="39" t="inlineStr">
        <is>
          <t>https://www.grandviewresearch.com/industry-analysis/commercial-display-market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https://www.grandviewresearch.com/industry-analysis/commercial-display-market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Capex cyclicality; Panel price swings; Commodity competition.</t>
        </is>
      </c>
      <c r="D18" s="39" t="inlineStr">
        <is>
          <t>https://www.grandviewresearch.com/industry-analysis/commercial-display-market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Retail and DOOH modernization</t>
        </is>
      </c>
      <c r="B21" s="33" t="n">
        <v>7</v>
      </c>
      <c r="C21" s="22" t="inlineStr">
        <is>
          <t>Brands keep investing in visual engagement.</t>
        </is>
      </c>
      <c r="E21" s="33" t="inlineStr">
        <is>
          <t>Capex cyclicality</t>
        </is>
      </c>
      <c r="F21" s="33" t="n">
        <v>8</v>
      </c>
      <c r="G21" s="22" t="inlineStr">
        <is>
          <t>Projects can be deferred quickly during downturns.</t>
        </is>
      </c>
    </row>
    <row r="22" ht="28.8" customHeight="1" s="50">
      <c r="A22" s="33" t="inlineStr">
        <is>
          <t>Transport and public information systems</t>
        </is>
      </c>
      <c r="B22" s="33" t="n">
        <v>7</v>
      </c>
      <c r="C22" s="22" t="inlineStr">
        <is>
          <t>Hubs and public spaces need updated displays.</t>
        </is>
      </c>
      <c r="E22" s="33" t="inlineStr">
        <is>
          <t>Panel price swings</t>
        </is>
      </c>
      <c r="F22" s="33" t="n">
        <v>6</v>
      </c>
      <c r="G22" s="22" t="inlineStr">
        <is>
          <t>Margins move with component pricing.</t>
        </is>
      </c>
    </row>
    <row r="23" ht="43.2" customHeight="1" s="50">
      <c r="A23" s="33" t="inlineStr">
        <is>
          <t>Control rooms and monitoring</t>
        </is>
      </c>
      <c r="B23" s="33" t="n">
        <v>6</v>
      </c>
      <c r="C23" s="22" t="inlineStr">
        <is>
          <t>Operations centers require reliable visualization.</t>
        </is>
      </c>
      <c r="E23" s="33" t="inlineStr">
        <is>
          <t>Commodity competition</t>
        </is>
      </c>
      <c r="F23" s="33" t="n">
        <v>7</v>
      </c>
      <c r="G23" s="22" t="inlineStr">
        <is>
          <t>Many projects are won on price.</t>
        </is>
      </c>
    </row>
    <row r="24" ht="43.2" customHeight="1" s="50">
      <c r="A24" s="33" t="inlineStr">
        <is>
          <t>Hybrid workplace collaboration</t>
        </is>
      </c>
      <c r="B24" s="33" t="n">
        <v>6</v>
      </c>
      <c r="C24" s="22" t="inlineStr">
        <is>
          <t>Meeting-room and presentation systems remain relevant.</t>
        </is>
      </c>
      <c r="E24" s="33" t="inlineStr">
        <is>
          <t>Limited differentiation</t>
        </is>
      </c>
      <c r="F24" s="33" t="n">
        <v>6</v>
      </c>
      <c r="G24" s="22" t="inlineStr">
        <is>
          <t>Hardware-only offers are easily substituted.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Public tenders matter in some segments, but politics is not the main driver.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brands and local assemblers compete heavily.</t>
        </is>
      </c>
    </row>
    <row r="31" ht="43.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Branding and project budgets are cyclical.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Many alternatives exist for standard display projects.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Demand depends on customer engagement and workplace experience needs.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Panel ecosystem concentration matters, but channels can switch brands.</t>
        </is>
      </c>
    </row>
    <row r="33" ht="57.6" customHeight="1" s="50">
      <c r="A33" s="13" t="inlineStr">
        <is>
          <t>Technological</t>
        </is>
      </c>
      <c r="B33" s="33" t="inlineStr">
        <is>
          <t>Medium</t>
        </is>
      </c>
      <c r="C33" s="22" t="inlineStr">
        <is>
          <t>Display quality, efficiency, and collaboration software help refresh cycles.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feasible through distribution and integration.</t>
        </is>
      </c>
    </row>
    <row r="34" ht="57.6" customHeight="1" s="50">
      <c r="A34" s="13" t="inlineStr">
        <is>
          <t>Legal</t>
        </is>
      </c>
      <c r="B34" s="33" t="inlineStr">
        <is>
          <t>Low</t>
        </is>
      </c>
      <c r="C34" s="22" t="inlineStr">
        <is>
          <t>Compliance is manageable versus security or telecom.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Alternative communication channels can reduce spend on hardware.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Energy efficiency and recycling requirements are becoming more relevant.</t>
        </is>
      </c>
      <c r="E35" s="13" t="inlineStr">
        <is>
          <t>Overall</t>
        </is>
      </c>
      <c r="F35" s="33" t="inlineStr">
        <is>
          <t>Low-Medium</t>
        </is>
      </c>
      <c r="G35" s="22" t="inlineStr">
        <is>
          <t>Useful adjacency, but lower strategic priority than core infrastructure domains.</t>
        </is>
      </c>
    </row>
    <row r="37" ht="72" customHeight="1" s="50">
      <c r="C37" s="41" t="inlineStr">
        <is>
          <t>Priority rises when displays are attached to larger security, smart-building, or control-room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Keep selective unless you can win bundled projects with better solution economics.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G1" workbookViewId="0">
      <selection activeCell="A1" sqref="A1"/>
    </sheetView>
  </sheetViews>
  <sheetFormatPr baseColWidth="8" defaultRowHeight="14.4"/>
  <cols>
    <col width="18" customWidth="1" style="50" min="1" max="1"/>
    <col width="42" customWidth="1" style="50" min="2" max="2"/>
    <col width="20" customWidth="1" style="50" min="3" max="3"/>
    <col width="10" customWidth="1" style="50" min="4" max="4"/>
    <col width="28" customWidth="1" style="50" min="5" max="10"/>
    <col width="22" customWidth="1" style="50" min="11" max="11"/>
    <col width="45" customWidth="1" style="50" min="12" max="12"/>
  </cols>
  <sheetData>
    <row r="1" ht="28.8" customHeight="1" s="50">
      <c r="A1" s="45" t="inlineStr">
        <is>
          <t>Region</t>
        </is>
      </c>
      <c r="B1" s="45" t="inlineStr">
        <is>
          <t>Countries Covered</t>
        </is>
      </c>
      <c r="C1" s="45" t="inlineStr">
        <is>
          <t>Market Size 2024→2030</t>
        </is>
      </c>
      <c r="D1" s="45" t="inlineStr">
        <is>
          <t>CAGR</t>
        </is>
      </c>
      <c r="E1" s="45" t="inlineStr">
        <is>
          <t>Political</t>
        </is>
      </c>
      <c r="F1" s="45" t="inlineStr">
        <is>
          <t>Economic</t>
        </is>
      </c>
      <c r="G1" s="45" t="inlineStr">
        <is>
          <t>Social</t>
        </is>
      </c>
      <c r="H1" s="45" t="inlineStr">
        <is>
          <t>Technological</t>
        </is>
      </c>
      <c r="I1" s="45" t="inlineStr">
        <is>
          <t>Legal</t>
        </is>
      </c>
      <c r="J1" s="45" t="inlineStr">
        <is>
          <t>Environmental</t>
        </is>
      </c>
      <c r="K1" s="45" t="inlineStr">
        <is>
          <t>Source</t>
        </is>
      </c>
      <c r="L1" s="45" t="inlineStr">
        <is>
          <t>URL</t>
        </is>
      </c>
    </row>
    <row r="2" ht="72" customHeight="1" s="50">
      <c r="A2" s="46" t="inlineStr">
        <is>
          <t>CIS</t>
        </is>
      </c>
      <c r="B2" s="46" t="inlineStr">
        <is>
          <t>Armenia; Georgia; Azerbaijan</t>
        </is>
      </c>
      <c r="C2" s="46" t="inlineStr">
        <is>
          <t>$1.15B → $1.76B</t>
        </is>
      </c>
      <c r="D2" s="46" t="inlineStr">
        <is>
          <t>7.4%</t>
        </is>
      </c>
      <c r="E2" s="46" t="inlineStr">
        <is>
          <t>EU-linked digital agendas and public modernization support infrastructure demand, but geopolitical friction keeps procurement decisions sensitive.</t>
        </is>
      </c>
      <c r="F2" s="46" t="inlineStr">
        <is>
          <t>Small economies, but steady broadband and public-sector connectivity investment; Azerbaijan adds oil-funded diversification capacity.</t>
        </is>
      </c>
      <c r="G2" s="46" t="inlineStr">
        <is>
          <t>High internet adoption and urban concentration support fiber, security and smart-building demand, while rural gaps still need investment.</t>
        </is>
      </c>
      <c r="H2" s="46" t="inlineStr">
        <is>
          <t>Legacy infrastructure is being modernized; FTTH, 4G/5G upgrades and network resilience remain priority areas.</t>
        </is>
      </c>
      <c r="I2" s="46" t="inlineStr">
        <is>
          <t>Rules are becoming more transparent, but standards alignment differs by country and can affect equipment approval and tender design.</t>
        </is>
      </c>
      <c r="J2" s="46" t="inlineStr">
        <is>
          <t>Seismic risk and mountain terrain raise resilience requirements and favor reliable, low-maintenance systems.</t>
        </is>
      </c>
      <c r="K2" s="47" t="inlineStr">
        <is>
          <t>World Bank / ITU / country digital strategy sources</t>
        </is>
      </c>
      <c r="L2" s="47" t="inlineStr">
        <is>
          <t>https://data.worldbank.org/indicator/IT.NET.USER.ZS</t>
        </is>
      </c>
    </row>
    <row r="3" ht="72" customHeight="1" s="50">
      <c r="A3" s="46" t="inlineStr">
        <is>
          <t>Central Asia</t>
        </is>
      </c>
      <c r="B3" s="46" t="inlineStr">
        <is>
          <t>Kazakhstan; Uzbekistan; Kyrgyzstan; Tajikistan; Turkmenistan; Afghanistan</t>
        </is>
      </c>
      <c r="C3" s="46" t="inlineStr">
        <is>
          <t>$3.27B → $4.79B</t>
        </is>
      </c>
      <c r="D3" s="46" t="inlineStr">
        <is>
          <t>6.6%</t>
        </is>
      </c>
      <c r="E3" s="46" t="inlineStr">
        <is>
          <t>Policy openness varies sharply: Kazakhstan and Uzbekistan are more investable, while sanctions, isolation, or instability constrain others.</t>
        </is>
      </c>
      <c r="F3" s="46" t="inlineStr">
        <is>
          <t>Resource-led and remittance-linked economies create uneven spending power, but digital infrastructure remains strategically important.</t>
        </is>
      </c>
      <c r="G3" s="46" t="inlineStr">
        <is>
          <t>Large rural populations and cross-border migration support connectivity demand; affordability remains critical outside major cities.</t>
        </is>
      </c>
      <c r="H3" s="46" t="inlineStr">
        <is>
          <t>Kazakhstan and Uzbekistan lead in fiber and mobile modernization; difficult terrain sustains demand for resilient transmission solutions.</t>
        </is>
      </c>
      <c r="I3" s="46" t="inlineStr">
        <is>
          <t>EAEU/customs frameworks help some markets; others remain complex for imports, certifications and public procurement.</t>
        </is>
      </c>
      <c r="J3" s="46" t="inlineStr">
        <is>
          <t>Extreme temperatures, water scarcity and long distances make ruggedized products and efficient systems more relevant.</t>
        </is>
      </c>
      <c r="K3" s="47" t="inlineStr">
        <is>
          <t>World Bank / ITU / GSMA</t>
        </is>
      </c>
      <c r="L3" s="47" t="inlineStr">
        <is>
          <t>https://www.itu.int/en/ITU-D/Statistics/pages/facts/default.aspx</t>
        </is>
      </c>
    </row>
    <row r="4" ht="72" customHeight="1" s="50">
      <c r="A4" s="46" t="inlineStr">
        <is>
          <t>Latin America</t>
        </is>
      </c>
      <c r="B4" s="46" t="inlineStr">
        <is>
          <t>Brazil; Mexico; Chile; Colombia; Peru; Dominican Republic</t>
        </is>
      </c>
      <c r="C4" s="46" t="inlineStr">
        <is>
          <t>$31.99B → $45.73B</t>
        </is>
      </c>
      <c r="D4" s="46" t="inlineStr">
        <is>
          <t>6.1%</t>
        </is>
      </c>
      <c r="E4" s="46" t="inlineStr">
        <is>
          <t>Generally stable regulatory direction, though U.S.-China tensions and local procurement preferences can shape vendor acceptance.</t>
        </is>
      </c>
      <c r="F4" s="46" t="inlineStr">
        <is>
          <t>Large addressable markets, nearshoring, enterprise digitalization and urban infrastructure spending support broad demand.</t>
        </is>
      </c>
      <c r="G4" s="46" t="inlineStr">
        <is>
          <t>High urbanization and expanding middle-income demand support residential fiber, security and commercial systems.</t>
        </is>
      </c>
      <c r="H4" s="46" t="inlineStr">
        <is>
          <t>5G, cloud, FTTH and industrial networking are advancing, especially in Brazil, Mexico and Chile.</t>
        </is>
      </c>
      <c r="I4" s="46" t="inlineStr">
        <is>
          <t>Telecom and data-protection frameworks are more mature than many emerging markets, improving project visibility but raising compliance needs.</t>
        </is>
      </c>
      <c r="J4" s="46" t="inlineStr">
        <is>
          <t>Climate resilience matters for hurricanes, floods, droughts and remote geographies, especially for outdoor and utility-linked infrastructure.</t>
        </is>
      </c>
      <c r="K4" s="47" t="inlineStr">
        <is>
          <t>World Bank / ITU / GSMA</t>
        </is>
      </c>
      <c r="L4" s="47" t="inlineStr">
        <is>
          <t>https://www.gsma.com/solutions-and-impact/connectivity-for-good/mobile-economy/the-mobile-economy-2025/</t>
        </is>
      </c>
    </row>
    <row r="5" ht="86.40000000000001" customHeight="1" s="50">
      <c r="A5" s="46" t="inlineStr">
        <is>
          <t>Southeast Asia</t>
        </is>
      </c>
      <c r="B5" s="46" t="inlineStr">
        <is>
          <t>Indonesia; Vietnam; Malaysia; Thailand; Philippines; Singapore; Cambodia</t>
        </is>
      </c>
      <c r="C5" s="46" t="inlineStr">
        <is>
          <t>$24.78B → $37.05B</t>
        </is>
      </c>
      <c r="D5" s="46" t="inlineStr">
        <is>
          <t>6.9%</t>
        </is>
      </c>
      <c r="E5" s="46" t="inlineStr">
        <is>
          <t>ASEAN integration helps, but vendor policy and foreign-investment rules vary widely by country.</t>
        </is>
      </c>
      <c r="F5" s="46" t="inlineStr">
        <is>
          <t>Fast growth, manufacturing relocation and digital platform expansion are pushing sustained infrastructure investment.</t>
        </is>
      </c>
      <c r="G5" s="46" t="inlineStr">
        <is>
          <t>Young, mobile-first populations and dense cities support strong demand for connectivity, smart systems and commercial electronics.</t>
        </is>
      </c>
      <c r="H5" s="46" t="inlineStr">
        <is>
          <t>Singapore leads in data centers and digital maturity; Vietnam and Indonesia are strong for manufacturing-linked networking and infrastructure build-out.</t>
        </is>
      </c>
      <c r="I5" s="46" t="inlineStr">
        <is>
          <t>Data-localization and foreign ownership rules are uneven; compliance planning matters market by market.</t>
        </is>
      </c>
      <c r="J5" s="46" t="inlineStr">
        <is>
          <t>Tropical climate, humidity, flood risk and island geographies increase the value of durable and energy-efficient solutions.</t>
        </is>
      </c>
      <c r="K5" s="47" t="inlineStr">
        <is>
          <t>World Bank / ITU / GSMA</t>
        </is>
      </c>
      <c r="L5" s="47" t="inlineStr">
        <is>
          <t>https://www.gsma.com/solutions-and-impact/connectivity-for-good/mobile-economy/the-mobile-economy-2026/</t>
        </is>
      </c>
    </row>
    <row r="6" ht="72" customHeight="1" s="50">
      <c r="A6" s="46" t="inlineStr">
        <is>
          <t>Africa</t>
        </is>
      </c>
      <c r="B6" s="46" t="inlineStr">
        <is>
          <t>South Africa; Egypt; Kenya; Nigeria; Morocco; Ghana</t>
        </is>
      </c>
      <c r="C6" s="46" t="inlineStr">
        <is>
          <t>$7.56B → $11.47B</t>
        </is>
      </c>
      <c r="D6" s="46" t="inlineStr">
        <is>
          <t>7.2%</t>
        </is>
      </c>
      <c r="E6" s="46" t="inlineStr">
        <is>
          <t>Governments are pushing digital inclusion, but policy consistency and tender execution vary significantly by market.</t>
        </is>
      </c>
      <c r="F6" s="46" t="inlineStr">
        <is>
          <t>Fast-growth economies and infrastructure gaps create opportunity, though FX risk and budget execution can slow projects.</t>
        </is>
      </c>
      <c r="G6" s="46" t="inlineStr">
        <is>
          <t>Young populations, mobile-first behavior and urbanization support strong demand for telecom, security and selected smart systems.</t>
        </is>
      </c>
      <c r="H6" s="46" t="inlineStr">
        <is>
          <t>Backbone, mobile broadband, payment infrastructure and enterprise digitization are expanding; data center growth is emerging in stronger hubs.</t>
        </is>
      </c>
      <c r="I6" s="46" t="inlineStr">
        <is>
          <t>Licensing, local-content rules and customs procedures require careful planning; public-sector deals may be slower but strategic.</t>
        </is>
      </c>
      <c r="J6" s="46" t="inlineStr">
        <is>
          <t>Power reliability, heat and climate resilience are important product-selection factors, especially for outdoor and edge systems.</t>
        </is>
      </c>
      <c r="K6" s="47" t="inlineStr">
        <is>
          <t>GSMA / World Bank / ITU</t>
        </is>
      </c>
      <c r="L6" s="47" t="inlineStr">
        <is>
          <t>https://www.gsmaintelligence.com/research/the-mobile-economy-africa-2025</t>
        </is>
      </c>
    </row>
    <row r="7" ht="72" customHeight="1" s="50">
      <c r="A7" s="46" t="inlineStr">
        <is>
          <t>Russia</t>
        </is>
      </c>
      <c r="B7" s="46" t="inlineStr">
        <is>
          <t>Russia Federation</t>
        </is>
      </c>
      <c r="C7" s="46" t="inlineStr">
        <is>
          <t>$8.5B → $11.2B</t>
        </is>
      </c>
      <c r="D7" s="46" t="inlineStr">
        <is>
          <t>4.7%</t>
        </is>
      </c>
      <c r="E7" s="46" t="inlineStr">
        <is>
          <t>Sanctions and import-substitution policies strongly shape supplier access, channel structure and technology choices.</t>
        </is>
      </c>
      <c r="F7" s="46" t="inlineStr">
        <is>
          <t>Large strategic market with state-backed infrastructure priorities, but FX and sanctions risk complicate execution.</t>
        </is>
      </c>
      <c r="G7" s="46" t="inlineStr">
        <is>
          <t>High technical literacy and strong digital-service use sustain demand for networking, security and sovereign infrastructure solutions.</t>
        </is>
      </c>
      <c r="H7" s="46" t="inlineStr">
        <is>
          <t>Upgrades continue, but vendor mix is constrained and domestic/non-Western supply routes matter more.</t>
        </is>
      </c>
      <c r="I7" s="46" t="inlineStr">
        <is>
          <t>Compliance, localization and procurement rules are highly specific; channel strategy must reflect sanctions reality.</t>
        </is>
      </c>
      <c r="J7" s="46" t="inlineStr">
        <is>
          <t>Harsh climate, distance and energy conditions increase demand for robust, serviceable infrastructure.</t>
        </is>
      </c>
      <c r="K7" s="47" t="inlineStr">
        <is>
          <t>World Bank / ITU / national policy context</t>
        </is>
      </c>
      <c r="L7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18" customWidth="1" style="50" min="1" max="1"/>
    <col width="20" customWidth="1" style="50" min="2" max="2"/>
    <col width="16" customWidth="1" style="50" min="3" max="3"/>
    <col width="14" customWidth="1" style="50" min="4" max="4"/>
    <col width="55" customWidth="1" style="50" min="5" max="5"/>
    <col width="18" customWidth="1" style="50" min="6" max="6"/>
    <col width="45" customWidth="1" style="50" min="7" max="7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Market Size Level</t>
        </is>
      </c>
      <c r="D1" s="45" t="inlineStr">
        <is>
          <t>Growth Outlook</t>
        </is>
      </c>
      <c r="E1" s="45" t="inlineStr">
        <is>
          <t>Strategic Note</t>
        </is>
      </c>
      <c r="F1" s="45" t="inlineStr">
        <is>
          <t>Source</t>
        </is>
      </c>
      <c r="G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8" t="inlineStr">
        <is>
          <t>Medium</t>
        </is>
      </c>
      <c r="D2" s="48" t="inlineStr">
        <is>
          <t>Medium</t>
        </is>
      </c>
      <c r="E2" s="41" t="inlineStr">
        <is>
          <t>Stable starter market; good fit for telecom, security and smart-building solutions.</t>
        </is>
      </c>
      <c r="F2" s="47" t="inlineStr">
        <is>
          <t>World Bank / ITU</t>
        </is>
      </c>
      <c r="G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Georgia</t>
        </is>
      </c>
      <c r="C3" s="48" t="inlineStr">
        <is>
          <t>Medium</t>
        </is>
      </c>
      <c r="D3" s="48" t="inlineStr">
        <is>
          <t>Medium</t>
        </is>
      </c>
      <c r="E3" s="41" t="inlineStr">
        <is>
          <t>Open regional gateway with steady infrastructure upgrade demand.</t>
        </is>
      </c>
      <c r="F3" s="47" t="inlineStr">
        <is>
          <t>World Bank / ITU</t>
        </is>
      </c>
      <c r="G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Azerbaijan</t>
        </is>
      </c>
      <c r="C4" s="48" t="inlineStr">
        <is>
          <t>Medium</t>
        </is>
      </c>
      <c r="D4" s="48" t="inlineStr">
        <is>
          <t>Medium</t>
        </is>
      </c>
      <c r="E4" s="41" t="inlineStr">
        <is>
          <t>Energy-backed modernization and stronger public infrastructure spending than peer Caucasus markets.</t>
        </is>
      </c>
      <c r="F4" s="47" t="inlineStr">
        <is>
          <t>World Bank / ITU</t>
        </is>
      </c>
      <c r="G4" s="47" t="inlineStr">
        <is>
          <t>https://data.worldbank.org/indicator/IT.NET.USER.ZS</t>
        </is>
      </c>
    </row>
    <row r="5" ht="43.2" customHeight="1" s="50">
      <c r="A5" s="41" t="inlineStr">
        <is>
          <t>Central Asia</t>
        </is>
      </c>
      <c r="B5" s="41" t="inlineStr">
        <is>
          <t>Kazakhstan</t>
        </is>
      </c>
      <c r="C5" s="48" t="inlineStr">
        <is>
          <t>High</t>
        </is>
      </c>
      <c r="D5" s="48" t="inlineStr">
        <is>
          <t>Medium</t>
        </is>
      </c>
      <c r="E5" s="41" t="inlineStr">
        <is>
          <t>Largest and most investable Central Asian market; strong fit across telecom, networking and datacenter-adjacent infrastructure.</t>
        </is>
      </c>
      <c r="F5" s="47" t="inlineStr">
        <is>
          <t>World Bank / ITU</t>
        </is>
      </c>
      <c r="G5" s="47" t="inlineStr">
        <is>
          <t>https://data.worldbank.org/indicator/IT.NET.USER.ZS</t>
        </is>
      </c>
    </row>
    <row r="6" ht="28.8" customHeight="1" s="50">
      <c r="A6" s="41" t="inlineStr">
        <is>
          <t>Central Asia</t>
        </is>
      </c>
      <c r="B6" s="41" t="inlineStr">
        <is>
          <t>Uzbekistan</t>
        </is>
      </c>
      <c r="C6" s="48" t="inlineStr">
        <is>
          <t>High</t>
        </is>
      </c>
      <c r="D6" s="48" t="inlineStr">
        <is>
          <t>High</t>
        </is>
      </c>
      <c r="E6" s="41" t="inlineStr">
        <is>
          <t>Fast reforming market with strong broadband and enterprise infrastructure upside.</t>
        </is>
      </c>
      <c r="F6" s="47" t="inlineStr">
        <is>
          <t>World Bank / ITU</t>
        </is>
      </c>
      <c r="G6" s="47" t="inlineStr">
        <is>
          <t>https://data.worldbank.org/indicator/IT.NET.USER.ZS</t>
        </is>
      </c>
    </row>
    <row r="7" ht="28.8" customHeight="1" s="50">
      <c r="A7" s="41" t="inlineStr">
        <is>
          <t>Central Asia</t>
        </is>
      </c>
      <c r="B7" s="41" t="inlineStr">
        <is>
          <t>Kyrgyzstan</t>
        </is>
      </c>
      <c r="C7" s="48" t="inlineStr">
        <is>
          <t>Low</t>
        </is>
      </c>
      <c r="D7" s="48" t="inlineStr">
        <is>
          <t>Medium</t>
        </is>
      </c>
      <c r="E7" s="41" t="inlineStr">
        <is>
          <t>Smaller market but relevant for selective telecom and security projects.</t>
        </is>
      </c>
      <c r="F7" s="47" t="inlineStr">
        <is>
          <t>World Bank / ITU</t>
        </is>
      </c>
      <c r="G7" s="47" t="inlineStr">
        <is>
          <t>https://data.worldbank.org/indicator/IT.NET.USER.ZS</t>
        </is>
      </c>
    </row>
    <row r="8" ht="28.8" customHeight="1" s="50">
      <c r="A8" s="41" t="inlineStr">
        <is>
          <t>Central Asia</t>
        </is>
      </c>
      <c r="B8" s="41" t="inlineStr">
        <is>
          <t>Tajikistan</t>
        </is>
      </c>
      <c r="C8" s="48" t="inlineStr">
        <is>
          <t>Low</t>
        </is>
      </c>
      <c r="D8" s="48" t="inlineStr">
        <is>
          <t>Low</t>
        </is>
      </c>
      <c r="E8" s="41" t="inlineStr">
        <is>
          <t>Opportunity exists, but affordability and project scale are limited.</t>
        </is>
      </c>
      <c r="F8" s="47" t="inlineStr">
        <is>
          <t>World Bank / ITU</t>
        </is>
      </c>
      <c r="G8" s="47" t="inlineStr">
        <is>
          <t>https://data.worldbank.org/indicator/IT.NET.USER.ZS</t>
        </is>
      </c>
    </row>
    <row r="9" ht="28.8" customHeight="1" s="50">
      <c r="A9" s="41" t="inlineStr">
        <is>
          <t>Central Asia</t>
        </is>
      </c>
      <c r="B9" s="41" t="inlineStr">
        <is>
          <t>Turkmenistan</t>
        </is>
      </c>
      <c r="C9" s="48" t="inlineStr">
        <is>
          <t>Low</t>
        </is>
      </c>
      <c r="D9" s="48" t="inlineStr">
        <is>
          <t>Low</t>
        </is>
      </c>
      <c r="E9" s="41" t="inlineStr">
        <is>
          <t>Restricted market access limits practical prioritization despite infrastructure need.</t>
        </is>
      </c>
      <c r="F9" s="47" t="inlineStr">
        <is>
          <t>World Bank / ITU</t>
        </is>
      </c>
      <c r="G9" s="47" t="inlineStr">
        <is>
          <t>https://data.worldbank.org/indicator/IT.NET.USER.ZS</t>
        </is>
      </c>
    </row>
    <row r="10" ht="28.8" customHeight="1" s="50">
      <c r="A10" s="41" t="inlineStr">
        <is>
          <t>Central Asia</t>
        </is>
      </c>
      <c r="B10" s="41" t="inlineStr">
        <is>
          <t>Afghanistan</t>
        </is>
      </c>
      <c r="C10" s="48" t="inlineStr">
        <is>
          <t>Low</t>
        </is>
      </c>
      <c r="D10" s="48" t="inlineStr">
        <is>
          <t>Low</t>
        </is>
      </c>
      <c r="E10" s="41" t="inlineStr">
        <is>
          <t>High need but severe execution risk; only selective, controlled opportunities.</t>
        </is>
      </c>
      <c r="F10" s="47" t="inlineStr">
        <is>
          <t>World Bank / ITU</t>
        </is>
      </c>
      <c r="G10" s="47" t="inlineStr">
        <is>
          <t>https://data.worldbank.org/indicator/IT.NET.USER.ZS</t>
        </is>
      </c>
    </row>
    <row r="11" ht="43.2" customHeight="1" s="50">
      <c r="A11" s="41" t="inlineStr">
        <is>
          <t>Latin America</t>
        </is>
      </c>
      <c r="B11" s="41" t="inlineStr">
        <is>
          <t>Brazil</t>
        </is>
      </c>
      <c r="C11" s="48" t="inlineStr">
        <is>
          <t>High</t>
        </is>
      </c>
      <c r="D11" s="48" t="inlineStr">
        <is>
          <t>Medium</t>
        </is>
      </c>
      <c r="E11" s="41" t="inlineStr">
        <is>
          <t>Largest LATAM market; strong fit across all major infrastructure and smart-system categories.</t>
        </is>
      </c>
      <c r="F11" s="47" t="inlineStr">
        <is>
          <t>GSMA / World Bank</t>
        </is>
      </c>
      <c r="G11" s="47" t="inlineStr">
        <is>
          <t>https://www.gsma.com/solutions-and-impact/connectivity-for-good/mobile-economy/the-mobile-economy-2025/</t>
        </is>
      </c>
    </row>
    <row r="12" ht="43.2" customHeight="1" s="50">
      <c r="A12" s="41" t="inlineStr">
        <is>
          <t>Latin America</t>
        </is>
      </c>
      <c r="B12" s="41" t="inlineStr">
        <is>
          <t>Mexico</t>
        </is>
      </c>
      <c r="C12" s="48" t="inlineStr">
        <is>
          <t>High</t>
        </is>
      </c>
      <c r="D12" s="48" t="inlineStr">
        <is>
          <t>Medium</t>
        </is>
      </c>
      <c r="E12" s="41" t="inlineStr">
        <is>
          <t>Nearshoring and manufacturing digitalization make it attractive for networking, security and datacenter-linked demand.</t>
        </is>
      </c>
      <c r="F12" s="47" t="inlineStr">
        <is>
          <t>GSMA / World Bank</t>
        </is>
      </c>
      <c r="G12" s="47" t="inlineStr">
        <is>
          <t>https://www.gsma.com/solutions-and-impact/connectivity-for-good/mobile-economy/the-mobile-economy-2025/</t>
        </is>
      </c>
    </row>
    <row r="13" ht="43.2" customHeight="1" s="50">
      <c r="A13" s="41" t="inlineStr">
        <is>
          <t>Latin America</t>
        </is>
      </c>
      <c r="B13" s="41" t="inlineStr">
        <is>
          <t>Chile</t>
        </is>
      </c>
      <c r="C13" s="48" t="inlineStr">
        <is>
          <t>Medium</t>
        </is>
      </c>
      <c r="D13" s="48" t="inlineStr">
        <is>
          <t>Medium</t>
        </is>
      </c>
      <c r="E13" s="41" t="inlineStr">
        <is>
          <t>Smaller but high-quality market with strong digital maturity and infrastructure standards.</t>
        </is>
      </c>
      <c r="F13" s="47" t="inlineStr">
        <is>
          <t>GSMA / World Bank</t>
        </is>
      </c>
      <c r="G13" s="47" t="inlineStr">
        <is>
          <t>https://www.gsma.com/solutions-and-impact/connectivity-for-good/mobile-economy/the-mobile-economy-2025/</t>
        </is>
      </c>
    </row>
    <row r="14" ht="43.2" customHeight="1" s="50">
      <c r="A14" s="41" t="inlineStr">
        <is>
          <t>Latin America</t>
        </is>
      </c>
      <c r="B14" s="41" t="inlineStr">
        <is>
          <t>Colombia</t>
        </is>
      </c>
      <c r="C14" s="48" t="inlineStr">
        <is>
          <t>Medium</t>
        </is>
      </c>
      <c r="D14" s="48" t="inlineStr">
        <is>
          <t>Medium</t>
        </is>
      </c>
      <c r="E14" s="41" t="inlineStr">
        <is>
          <t>Balanced regional market with ongoing enterprise and public infrastructure modernization.</t>
        </is>
      </c>
      <c r="F14" s="47" t="inlineStr">
        <is>
          <t>GSMA / World Bank</t>
        </is>
      </c>
      <c r="G14" s="47" t="inlineStr">
        <is>
          <t>https://www.gsma.com/solutions-and-impact/connectivity-for-good/mobile-economy/the-mobile-economy-2025/</t>
        </is>
      </c>
    </row>
    <row r="15" ht="43.2" customHeight="1" s="50">
      <c r="A15" s="41" t="inlineStr">
        <is>
          <t>Latin America</t>
        </is>
      </c>
      <c r="B15" s="41" t="inlineStr">
        <is>
          <t>Peru</t>
        </is>
      </c>
      <c r="C15" s="48" t="inlineStr">
        <is>
          <t>Medium</t>
        </is>
      </c>
      <c r="D15" s="48" t="inlineStr">
        <is>
          <t>Medium</t>
        </is>
      </c>
      <c r="E15" s="41" t="inlineStr">
        <is>
          <t>Moderate-size market with selective telecom and security potential.</t>
        </is>
      </c>
      <c r="F15" s="47" t="inlineStr">
        <is>
          <t>GSMA / World Bank</t>
        </is>
      </c>
      <c r="G15" s="47" t="inlineStr">
        <is>
          <t>https://www.gsma.com/solutions-and-impact/connectivity-for-good/mobile-economy/the-mobile-economy-2025/</t>
        </is>
      </c>
    </row>
    <row r="16" ht="43.2" customHeight="1" s="50">
      <c r="A16" s="41" t="inlineStr">
        <is>
          <t>Latin America</t>
        </is>
      </c>
      <c r="B16" s="41" t="inlineStr">
        <is>
          <t>Dominican Republic</t>
        </is>
      </c>
      <c r="C16" s="48" t="inlineStr">
        <is>
          <t>Low</t>
        </is>
      </c>
      <c r="D16" s="48" t="inlineStr">
        <is>
          <t>Medium</t>
        </is>
      </c>
      <c r="E16" s="41" t="inlineStr">
        <is>
          <t>Smaller market, but tourism, real estate and connectivity upgrades support focused plays.</t>
        </is>
      </c>
      <c r="F16" s="47" t="inlineStr">
        <is>
          <t>GSMA / World Bank</t>
        </is>
      </c>
      <c r="G16" s="47" t="inlineStr">
        <is>
          <t>https://www.gsma.com/solutions-and-impact/connectivity-for-good/mobile-economy/the-mobile-economy-2025/</t>
        </is>
      </c>
    </row>
    <row r="17" ht="43.2" customHeight="1" s="50">
      <c r="A17" s="41" t="inlineStr">
        <is>
          <t>Southeast Asia</t>
        </is>
      </c>
      <c r="B17" s="41" t="inlineStr">
        <is>
          <t>Indonesia</t>
        </is>
      </c>
      <c r="C17" s="48" t="inlineStr">
        <is>
          <t>High</t>
        </is>
      </c>
      <c r="D17" s="48" t="inlineStr">
        <is>
          <t>High</t>
        </is>
      </c>
      <c r="E17" s="41" t="inlineStr">
        <is>
          <t>Large-scale, mobile-first market with broad telecom, networking and security demand.</t>
        </is>
      </c>
      <c r="F17" s="47" t="inlineStr">
        <is>
          <t>GSMA / ITU</t>
        </is>
      </c>
      <c r="G17" s="47" t="inlineStr">
        <is>
          <t>https://www.gsma.com/solutions-and-impact/connectivity-for-good/mobile-economy/the-mobile-economy-2026/</t>
        </is>
      </c>
    </row>
    <row r="18" ht="43.2" customHeight="1" s="50">
      <c r="A18" s="41" t="inlineStr">
        <is>
          <t>Southeast Asia</t>
        </is>
      </c>
      <c r="B18" s="41" t="inlineStr">
        <is>
          <t>Vietnam</t>
        </is>
      </c>
      <c r="C18" s="48" t="inlineStr">
        <is>
          <t>High</t>
        </is>
      </c>
      <c r="D18" s="48" t="inlineStr">
        <is>
          <t>High</t>
        </is>
      </c>
      <c r="E18" s="41" t="inlineStr">
        <is>
          <t>Manufacturing-driven growth and infrastructure upgrades make it highly attractive.</t>
        </is>
      </c>
      <c r="F18" s="47" t="inlineStr">
        <is>
          <t>GSMA / ITU</t>
        </is>
      </c>
      <c r="G18" s="47" t="inlineStr">
        <is>
          <t>https://www.gsma.com/solutions-and-impact/connectivity-for-good/mobile-economy/the-mobile-economy-2026/</t>
        </is>
      </c>
    </row>
    <row r="19" ht="43.2" customHeight="1" s="50">
      <c r="A19" s="41" t="inlineStr">
        <is>
          <t>Southeast Asia</t>
        </is>
      </c>
      <c r="B19" s="41" t="inlineStr">
        <is>
          <t>Malaysia</t>
        </is>
      </c>
      <c r="C19" s="48" t="inlineStr">
        <is>
          <t>Medium</t>
        </is>
      </c>
      <c r="D19" s="48" t="inlineStr">
        <is>
          <t>Medium</t>
        </is>
      </c>
      <c r="E19" s="41" t="inlineStr">
        <is>
          <t>Balanced market with solid enterprise networking and smart-building demand.</t>
        </is>
      </c>
      <c r="F19" s="47" t="inlineStr">
        <is>
          <t>GSMA / ITU</t>
        </is>
      </c>
      <c r="G19" s="47" t="inlineStr">
        <is>
          <t>https://www.gsma.com/solutions-and-impact/connectivity-for-good/mobile-economy/the-mobile-economy-2026/</t>
        </is>
      </c>
    </row>
    <row r="20" ht="43.2" customHeight="1" s="50">
      <c r="A20" s="41" t="inlineStr">
        <is>
          <t>Southeast Asia</t>
        </is>
      </c>
      <c r="B20" s="41" t="inlineStr">
        <is>
          <t>Thailand</t>
        </is>
      </c>
      <c r="C20" s="48" t="inlineStr">
        <is>
          <t>Medium</t>
        </is>
      </c>
      <c r="D20" s="48" t="inlineStr">
        <is>
          <t>Medium</t>
        </is>
      </c>
      <c r="E20" s="41" t="inlineStr">
        <is>
          <t>Good fit for networking, security and commercial systems in urban and industrial areas.</t>
        </is>
      </c>
      <c r="F20" s="47" t="inlineStr">
        <is>
          <t>GSMA / ITU</t>
        </is>
      </c>
      <c r="G20" s="47" t="inlineStr">
        <is>
          <t>https://www.gsma.com/solutions-and-impact/connectivity-for-good/mobile-economy/the-mobile-economy-2026/</t>
        </is>
      </c>
    </row>
    <row r="21" ht="43.2" customHeight="1" s="50">
      <c r="A21" s="41" t="inlineStr">
        <is>
          <t>Southeast Asia</t>
        </is>
      </c>
      <c r="B21" s="41" t="inlineStr">
        <is>
          <t>Philippines</t>
        </is>
      </c>
      <c r="C21" s="48" t="inlineStr">
        <is>
          <t>Medium</t>
        </is>
      </c>
      <c r="D21" s="48" t="inlineStr">
        <is>
          <t>High</t>
        </is>
      </c>
      <c r="E21" s="41" t="inlineStr">
        <is>
          <t>Fast digital demand growth, but geography adds complexity; telecom and security remain attractive.</t>
        </is>
      </c>
      <c r="F21" s="47" t="inlineStr">
        <is>
          <t>GSMA / ITU</t>
        </is>
      </c>
      <c r="G21" s="47" t="inlineStr">
        <is>
          <t>https://www.gsma.com/solutions-and-impact/connectivity-for-good/mobile-economy/the-mobile-economy-2026/</t>
        </is>
      </c>
    </row>
    <row r="22" ht="28.8" customHeight="1" s="50">
      <c r="A22" s="41" t="inlineStr">
        <is>
          <t>Southeast Asia</t>
        </is>
      </c>
      <c r="B22" s="41" t="inlineStr">
        <is>
          <t>Singapore</t>
        </is>
      </c>
      <c r="C22" s="48" t="inlineStr">
        <is>
          <t>High</t>
        </is>
      </c>
      <c r="D22" s="48" t="inlineStr">
        <is>
          <t>Medium</t>
        </is>
      </c>
      <c r="E22" s="41" t="inlineStr">
        <is>
          <t>Small but premium market with strongest datacenter and advanced digital infrastructure profile.</t>
        </is>
      </c>
      <c r="F22" s="47" t="inlineStr">
        <is>
          <t>JLL / ITU</t>
        </is>
      </c>
      <c r="G22" s="47" t="inlineStr">
        <is>
          <t>https://www.jll.com/en-us/insights/market-outlook/data-center-outlook</t>
        </is>
      </c>
    </row>
    <row r="23" ht="43.2" customHeight="1" s="50">
      <c r="A23" s="41" t="inlineStr">
        <is>
          <t>Southeast Asia</t>
        </is>
      </c>
      <c r="B23" s="41" t="inlineStr">
        <is>
          <t>Cambodia</t>
        </is>
      </c>
      <c r="C23" s="48" t="inlineStr">
        <is>
          <t>Low</t>
        </is>
      </c>
      <c r="D23" s="48" t="inlineStr">
        <is>
          <t>Medium</t>
        </is>
      </c>
      <c r="E23" s="41" t="inlineStr">
        <is>
          <t>Early-stage growth market suited to selective telecom and security projects.</t>
        </is>
      </c>
      <c r="F23" s="47" t="inlineStr">
        <is>
          <t>GSMA / ITU</t>
        </is>
      </c>
      <c r="G23" s="47" t="inlineStr">
        <is>
          <t>https://www.gsma.com/solutions-and-impact/connectivity-for-good/mobile-economy/the-mobile-economy-2026/</t>
        </is>
      </c>
    </row>
    <row r="24" ht="28.8" customHeight="1" s="50">
      <c r="A24" s="41" t="inlineStr">
        <is>
          <t>Africa</t>
        </is>
      </c>
      <c r="B24" s="41" t="inlineStr">
        <is>
          <t>South Africa</t>
        </is>
      </c>
      <c r="C24" s="48" t="inlineStr">
        <is>
          <t>Medium</t>
        </is>
      </c>
      <c r="D24" s="48" t="inlineStr">
        <is>
          <t>Medium</t>
        </is>
      </c>
      <c r="E24" s="41" t="inlineStr">
        <is>
          <t>Most diversified African market; good fit for networking, security and commercial systems.</t>
        </is>
      </c>
      <c r="F24" s="47" t="inlineStr">
        <is>
          <t>GSMA Africa / ITU</t>
        </is>
      </c>
      <c r="G24" s="47" t="inlineStr">
        <is>
          <t>https://www.gsmaintelligence.com/research/the-mobile-economy-africa-2025</t>
        </is>
      </c>
    </row>
    <row r="25" ht="28.8" customHeight="1" s="50">
      <c r="A25" s="41" t="inlineStr">
        <is>
          <t>Africa</t>
        </is>
      </c>
      <c r="B25" s="41" t="inlineStr">
        <is>
          <t>Egypt</t>
        </is>
      </c>
      <c r="C25" s="48" t="inlineStr">
        <is>
          <t>Medium</t>
        </is>
      </c>
      <c r="D25" s="48" t="inlineStr">
        <is>
          <t>High</t>
        </is>
      </c>
      <c r="E25" s="41" t="inlineStr">
        <is>
          <t>Regional bridge market with strong infrastructure logic and growing datacenter interest.</t>
        </is>
      </c>
      <c r="F25" s="47" t="inlineStr">
        <is>
          <t>GSMA Africa / ITU</t>
        </is>
      </c>
      <c r="G25" s="47" t="inlineStr">
        <is>
          <t>https://www.gsmaintelligence.com/research/the-mobile-economy-africa-2025</t>
        </is>
      </c>
    </row>
    <row r="26" ht="28.8" customHeight="1" s="50">
      <c r="A26" s="41" t="inlineStr">
        <is>
          <t>Africa</t>
        </is>
      </c>
      <c r="B26" s="41" t="inlineStr">
        <is>
          <t>Kenya</t>
        </is>
      </c>
      <c r="C26" s="48" t="inlineStr">
        <is>
          <t>Medium</t>
        </is>
      </c>
      <c r="D26" s="48" t="inlineStr">
        <is>
          <t>High</t>
        </is>
      </c>
      <c r="E26" s="41" t="inlineStr">
        <is>
          <t>East African digital leader; strong telecom, security and enterprise-networking potential.</t>
        </is>
      </c>
      <c r="F26" s="47" t="inlineStr">
        <is>
          <t>GSMA Africa / ITU</t>
        </is>
      </c>
      <c r="G26" s="47" t="inlineStr">
        <is>
          <t>https://www.gsmaintelligence.com/research/the-mobile-economy-africa-2025</t>
        </is>
      </c>
    </row>
    <row r="27" ht="28.8" customHeight="1" s="50">
      <c r="A27" s="41" t="inlineStr">
        <is>
          <t>Africa</t>
        </is>
      </c>
      <c r="B27" s="41" t="inlineStr">
        <is>
          <t>Nigeria</t>
        </is>
      </c>
      <c r="C27" s="48" t="inlineStr">
        <is>
          <t>High</t>
        </is>
      </c>
      <c r="D27" s="48" t="inlineStr">
        <is>
          <t>High</t>
        </is>
      </c>
      <c r="E27" s="41" t="inlineStr">
        <is>
          <t>Largest population market in Africa; very attractive but operationally complex.</t>
        </is>
      </c>
      <c r="F27" s="47" t="inlineStr">
        <is>
          <t>GSMA Africa / ITU</t>
        </is>
      </c>
      <c r="G27" s="47" t="inlineStr">
        <is>
          <t>https://www.gsmaintelligence.com/research/the-mobile-economy-africa-2025</t>
        </is>
      </c>
    </row>
    <row r="28" ht="28.8" customHeight="1" s="50">
      <c r="A28" s="41" t="inlineStr">
        <is>
          <t>Africa</t>
        </is>
      </c>
      <c r="B28" s="41" t="inlineStr">
        <is>
          <t>Morocco</t>
        </is>
      </c>
      <c r="C28" s="48" t="inlineStr">
        <is>
          <t>Medium</t>
        </is>
      </c>
      <c r="D28" s="48" t="inlineStr">
        <is>
          <t>Medium</t>
        </is>
      </c>
      <c r="E28" s="41" t="inlineStr">
        <is>
          <t>Stable North African gateway with good fit for telecom, networking and security.</t>
        </is>
      </c>
      <c r="F28" s="47" t="inlineStr">
        <is>
          <t>GSMA Africa / ITU</t>
        </is>
      </c>
      <c r="G28" s="47" t="inlineStr">
        <is>
          <t>https://www.gsmaintelligence.com/research/the-mobile-economy-africa-2025</t>
        </is>
      </c>
    </row>
    <row r="29" ht="28.8" customHeight="1" s="50">
      <c r="A29" s="41" t="inlineStr">
        <is>
          <t>Africa</t>
        </is>
      </c>
      <c r="B29" s="41" t="inlineStr">
        <is>
          <t>Ghana</t>
        </is>
      </c>
      <c r="C29" s="48" t="inlineStr">
        <is>
          <t>Low</t>
        </is>
      </c>
      <c r="D29" s="48" t="inlineStr">
        <is>
          <t>Medium</t>
        </is>
      </c>
      <c r="E29" s="41" t="inlineStr">
        <is>
          <t>Smaller but improving West African market with selective infrastructure and security opportunity.</t>
        </is>
      </c>
      <c r="F29" s="47" t="inlineStr">
        <is>
          <t>GSMA Africa / ITU</t>
        </is>
      </c>
      <c r="G29" s="47" t="inlineStr">
        <is>
          <t>https://www.gsmaintelligence.com/research/the-mobile-economy-africa-2025</t>
        </is>
      </c>
    </row>
    <row r="30" ht="28.8" customHeight="1" s="50">
      <c r="A30" s="41" t="inlineStr">
        <is>
          <t>Russia</t>
        </is>
      </c>
      <c r="B30" s="41" t="inlineStr">
        <is>
          <t>Russia Federation</t>
        </is>
      </c>
      <c r="C30" s="48" t="inlineStr">
        <is>
          <t>High</t>
        </is>
      </c>
      <c r="D30" s="48" t="inlineStr">
        <is>
          <t>Low</t>
        </is>
      </c>
      <c r="E30" s="41" t="inlineStr">
        <is>
          <t>Large strategic market, but sanctions and compliance constraints materially affect feasibility.</t>
        </is>
      </c>
      <c r="F30" s="47" t="inlineStr">
        <is>
          <t>World Bank / ITU</t>
        </is>
      </c>
      <c r="G30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4"/>
  <sheetViews>
    <sheetView tabSelected="1" topLeftCell="A60" workbookViewId="0">
      <selection activeCell="A1" sqref="A1"/>
    </sheetView>
  </sheetViews>
  <sheetFormatPr baseColWidth="8" defaultRowHeight="14.4"/>
  <cols>
    <col width="16" customWidth="1" style="50" min="1" max="1"/>
    <col width="18" customWidth="1" style="50" min="2" max="2"/>
    <col width="12" customWidth="1" style="50" min="3" max="3"/>
    <col width="34" customWidth="1" style="50" min="4" max="4"/>
    <col width="14" customWidth="1" style="50" min="5" max="5"/>
    <col width="52" customWidth="1" style="50" min="6" max="6"/>
    <col width="18" customWidth="1" style="50" min="7" max="7"/>
    <col width="45" customWidth="1" style="50" min="8" max="8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Industry Code</t>
        </is>
      </c>
      <c r="D1" s="45" t="inlineStr">
        <is>
          <t>Industry</t>
        </is>
      </c>
      <c r="E1" s="45" t="inlineStr">
        <is>
          <t>Demand Level</t>
        </is>
      </c>
      <c r="F1" s="45" t="inlineStr">
        <is>
          <t>Short Logic</t>
        </is>
      </c>
      <c r="G1" s="45" t="inlineStr">
        <is>
          <t>Source</t>
        </is>
      </c>
      <c r="H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1" t="inlineStr">
        <is>
          <t>TEL</t>
        </is>
      </c>
      <c r="D2" s="41" t="inlineStr">
        <is>
          <t>Telecommunications Infrastructure</t>
        </is>
      </c>
      <c r="E2" s="48" t="inlineStr">
        <is>
          <t>Medium</t>
        </is>
      </c>
      <c r="F2" s="41" t="inlineStr">
        <is>
          <t>Selective fiber and access-network expansion supports demand.</t>
        </is>
      </c>
      <c r="G2" s="47" t="inlineStr">
        <is>
          <t>World Bank / ITU</t>
        </is>
      </c>
      <c r="H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Armenia</t>
        </is>
      </c>
      <c r="C3" s="41" t="inlineStr">
        <is>
          <t>NET</t>
        </is>
      </c>
      <c r="D3" s="41" t="inlineStr">
        <is>
          <t>Networking &amp; Data Systems</t>
        </is>
      </c>
      <c r="E3" s="48" t="inlineStr">
        <is>
          <t>Medium</t>
        </is>
      </c>
      <c r="F3" s="41" t="inlineStr">
        <is>
          <t>Steady network refresh and connectivity expansion support demand.</t>
        </is>
      </c>
      <c r="G3" s="47" t="inlineStr">
        <is>
          <t>World Bank / ITU</t>
        </is>
      </c>
      <c r="H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Armenia</t>
        </is>
      </c>
      <c r="C4" s="41" t="inlineStr">
        <is>
          <t>SEC</t>
        </is>
      </c>
      <c r="D4" s="41" t="inlineStr">
        <is>
          <t>Security &amp; Surveillance</t>
        </is>
      </c>
      <c r="E4" s="48" t="inlineStr">
        <is>
          <t>High</t>
        </is>
      </c>
      <c r="F4" s="41" t="inlineStr">
        <is>
          <t>Security spending, site protection and public/private monitoring needs are strong.</t>
        </is>
      </c>
      <c r="G4" s="47" t="inlineStr">
        <is>
          <t>World Bank / ITU</t>
        </is>
      </c>
      <c r="H4" s="47" t="inlineStr">
        <is>
          <t>https://data.worldbank.org/indicator/IT.NET.USER.ZS</t>
        </is>
      </c>
    </row>
    <row r="5" ht="28.8" customHeight="1" s="50">
      <c r="A5" s="41" t="inlineStr">
        <is>
          <t>CIS</t>
        </is>
      </c>
      <c r="B5" s="41" t="inlineStr">
        <is>
          <t>Armenia</t>
        </is>
      </c>
      <c r="C5" s="41" t="inlineStr">
        <is>
          <t>SBL</t>
        </is>
      </c>
      <c r="D5" s="41" t="inlineStr">
        <is>
          <t>Smart Building &amp; IoT</t>
        </is>
      </c>
      <c r="E5" s="48" t="inlineStr">
        <is>
          <t>Medium</t>
        </is>
      </c>
      <c r="F5" s="41" t="inlineStr">
        <is>
          <t>Smart-building demand is growing, mainly in commercial and premium projects.</t>
        </is>
      </c>
      <c r="G5" s="47" t="inlineStr">
        <is>
          <t>World Bank / ITU</t>
        </is>
      </c>
      <c r="H5" s="47" t="inlineStr">
        <is>
          <t>https://data.worldbank.org/indicator/IT.NET.USER.ZS</t>
        </is>
      </c>
    </row>
    <row r="6" ht="28.8" customHeight="1" s="50">
      <c r="A6" s="41" t="inlineStr">
        <is>
          <t>CIS</t>
        </is>
      </c>
      <c r="B6" s="41" t="inlineStr">
        <is>
          <t>Armenia</t>
        </is>
      </c>
      <c r="C6" s="41" t="inlineStr">
        <is>
          <t>DCA</t>
        </is>
      </c>
      <c r="D6" s="41" t="inlineStr">
        <is>
          <t>Data Centre &amp; AI Infrastructure</t>
        </is>
      </c>
      <c r="E6" s="48" t="inlineStr">
        <is>
          <t>Low</t>
        </is>
      </c>
      <c r="F6" s="41" t="inlineStr">
        <is>
          <t>Datacenter demand is still early-stage or constrained by power / market scale.</t>
        </is>
      </c>
      <c r="G6" s="47" t="inlineStr">
        <is>
          <t>World Bank / ITU</t>
        </is>
      </c>
      <c r="H6" s="47" t="inlineStr">
        <is>
          <t>https://data.worldbank.org/indicator/IT.NET.USER.ZS</t>
        </is>
      </c>
    </row>
    <row r="7" ht="28.8" customHeight="1" s="50">
      <c r="A7" s="41" t="inlineStr">
        <is>
          <t>CIS</t>
        </is>
      </c>
      <c r="B7" s="41" t="inlineStr">
        <is>
          <t>Armenia</t>
        </is>
      </c>
      <c r="C7" s="41" t="inlineStr">
        <is>
          <t>ROB</t>
        </is>
      </c>
      <c r="D7" s="41" t="inlineStr">
        <is>
          <t>Robotics &amp; Intelligent Devices</t>
        </is>
      </c>
      <c r="E7" s="48" t="inlineStr">
        <is>
          <t>Low</t>
        </is>
      </c>
      <c r="F7" s="41" t="inlineStr">
        <is>
          <t>Robotics remains early-stage and not yet a broad purchasing priority.</t>
        </is>
      </c>
      <c r="G7" s="47" t="inlineStr">
        <is>
          <t>World Bank / ITU</t>
        </is>
      </c>
      <c r="H7" s="47" t="inlineStr">
        <is>
          <t>https://data.worldbank.org/indicator/IT.NET.USER.ZS</t>
        </is>
      </c>
    </row>
    <row r="8" ht="28.8" customHeight="1" s="50">
      <c r="A8" s="41" t="inlineStr">
        <is>
          <t>CIS</t>
        </is>
      </c>
      <c r="B8" s="41" t="inlineStr">
        <is>
          <t>Armenia</t>
        </is>
      </c>
      <c r="C8" s="41" t="inlineStr">
        <is>
          <t>CEV</t>
        </is>
      </c>
      <c r="D8" s="41" t="inlineStr">
        <is>
          <t>Commercial Electronics &amp; Visual Systems</t>
        </is>
      </c>
      <c r="E8" s="48" t="inlineStr">
        <is>
          <t>Medium</t>
        </is>
      </c>
      <c r="F8" s="41" t="inlineStr">
        <is>
          <t>Commercial display and workplace-system demand is growing selectively.</t>
        </is>
      </c>
      <c r="G8" s="47" t="inlineStr">
        <is>
          <t>World Bank / ITU</t>
        </is>
      </c>
      <c r="H8" s="47" t="inlineStr">
        <is>
          <t>https://data.worldbank.org/indicator/IT.NET.USER.ZS</t>
        </is>
      </c>
    </row>
    <row r="9" ht="28.8" customHeight="1" s="50">
      <c r="A9" s="41" t="inlineStr">
        <is>
          <t>CIS</t>
        </is>
      </c>
      <c r="B9" s="41" t="inlineStr">
        <is>
          <t>Georgia</t>
        </is>
      </c>
      <c r="C9" s="41" t="inlineStr">
        <is>
          <t>TEL</t>
        </is>
      </c>
      <c r="D9" s="41" t="inlineStr">
        <is>
          <t>Telecommunications Infrastructure</t>
        </is>
      </c>
      <c r="E9" s="48" t="inlineStr">
        <is>
          <t>Medium</t>
        </is>
      </c>
      <c r="F9" s="41" t="inlineStr">
        <is>
          <t>Selective fiber and access-network expansion supports demand.</t>
        </is>
      </c>
      <c r="G9" s="47" t="inlineStr">
        <is>
          <t>World Bank / ITU</t>
        </is>
      </c>
      <c r="H9" s="47" t="inlineStr">
        <is>
          <t>https://data.worldbank.org/indicator/IT.NET.USER.ZS</t>
        </is>
      </c>
    </row>
    <row r="10" ht="28.8" customHeight="1" s="50">
      <c r="A10" s="41" t="inlineStr">
        <is>
          <t>CIS</t>
        </is>
      </c>
      <c r="B10" s="41" t="inlineStr">
        <is>
          <t>Georgia</t>
        </is>
      </c>
      <c r="C10" s="41" t="inlineStr">
        <is>
          <t>NET</t>
        </is>
      </c>
      <c r="D10" s="41" t="inlineStr">
        <is>
          <t>Networking &amp; Data Systems</t>
        </is>
      </c>
      <c r="E10" s="48" t="inlineStr">
        <is>
          <t>Medium</t>
        </is>
      </c>
      <c r="F10" s="41" t="inlineStr">
        <is>
          <t>Steady network refresh and connectivity expansion support demand.</t>
        </is>
      </c>
      <c r="G10" s="47" t="inlineStr">
        <is>
          <t>World Bank / ITU</t>
        </is>
      </c>
      <c r="H10" s="47" t="inlineStr">
        <is>
          <t>https://data.worldbank.org/indicator/IT.NET.USER.ZS</t>
        </is>
      </c>
    </row>
    <row r="11" ht="28.8" customHeight="1" s="50">
      <c r="A11" s="41" t="inlineStr">
        <is>
          <t>CIS</t>
        </is>
      </c>
      <c r="B11" s="41" t="inlineStr">
        <is>
          <t>Georgia</t>
        </is>
      </c>
      <c r="C11" s="41" t="inlineStr">
        <is>
          <t>SEC</t>
        </is>
      </c>
      <c r="D11" s="41" t="inlineStr">
        <is>
          <t>Security &amp; Surveillance</t>
        </is>
      </c>
      <c r="E11" s="48" t="inlineStr">
        <is>
          <t>High</t>
        </is>
      </c>
      <c r="F11" s="41" t="inlineStr">
        <is>
          <t>Security spending, site protection and public/private monitoring needs are strong.</t>
        </is>
      </c>
      <c r="G11" s="47" t="inlineStr">
        <is>
          <t>World Bank / ITU</t>
        </is>
      </c>
      <c r="H11" s="47" t="inlineStr">
        <is>
          <t>https://data.worldbank.org/indicator/IT.NET.USER.ZS</t>
        </is>
      </c>
    </row>
    <row r="12" ht="28.8" customHeight="1" s="50">
      <c r="A12" s="41" t="inlineStr">
        <is>
          <t>CIS</t>
        </is>
      </c>
      <c r="B12" s="41" t="inlineStr">
        <is>
          <t>Georgia</t>
        </is>
      </c>
      <c r="C12" s="41" t="inlineStr">
        <is>
          <t>SBL</t>
        </is>
      </c>
      <c r="D12" s="41" t="inlineStr">
        <is>
          <t>Smart Building &amp; IoT</t>
        </is>
      </c>
      <c r="E12" s="48" t="inlineStr">
        <is>
          <t>Medium</t>
        </is>
      </c>
      <c r="F12" s="41" t="inlineStr">
        <is>
          <t>Smart-building demand is growing, mainly in commercial and premium projects.</t>
        </is>
      </c>
      <c r="G12" s="47" t="inlineStr">
        <is>
          <t>World Bank / ITU</t>
        </is>
      </c>
      <c r="H12" s="47" t="inlineStr">
        <is>
          <t>https://data.worldbank.org/indicator/IT.NET.USER.ZS</t>
        </is>
      </c>
    </row>
    <row r="13" ht="28.8" customHeight="1" s="50">
      <c r="A13" s="41" t="inlineStr">
        <is>
          <t>CIS</t>
        </is>
      </c>
      <c r="B13" s="41" t="inlineStr">
        <is>
          <t>Georgia</t>
        </is>
      </c>
      <c r="C13" s="41" t="inlineStr">
        <is>
          <t>DCA</t>
        </is>
      </c>
      <c r="D13" s="41" t="inlineStr">
        <is>
          <t>Data Centre &amp; AI Infrastructure</t>
        </is>
      </c>
      <c r="E13" s="48" t="inlineStr">
        <is>
          <t>Low</t>
        </is>
      </c>
      <c r="F13" s="41" t="inlineStr">
        <is>
          <t>Datacenter demand is still early-stage or constrained by power / market scale.</t>
        </is>
      </c>
      <c r="G13" s="47" t="inlineStr">
        <is>
          <t>World Bank / ITU</t>
        </is>
      </c>
      <c r="H13" s="47" t="inlineStr">
        <is>
          <t>https://data.worldbank.org/indicator/IT.NET.USER.ZS</t>
        </is>
      </c>
    </row>
    <row r="14" ht="28.8" customHeight="1" s="50">
      <c r="A14" s="41" t="inlineStr">
        <is>
          <t>CIS</t>
        </is>
      </c>
      <c r="B14" s="41" t="inlineStr">
        <is>
          <t>Georgia</t>
        </is>
      </c>
      <c r="C14" s="41" t="inlineStr">
        <is>
          <t>ROB</t>
        </is>
      </c>
      <c r="D14" s="41" t="inlineStr">
        <is>
          <t>Robotics &amp; Intelligent Devices</t>
        </is>
      </c>
      <c r="E14" s="48" t="inlineStr">
        <is>
          <t>Low</t>
        </is>
      </c>
      <c r="F14" s="41" t="inlineStr">
        <is>
          <t>Robotics remains early-stage and not yet a broad purchasing priority.</t>
        </is>
      </c>
      <c r="G14" s="47" t="inlineStr">
        <is>
          <t>World Bank / ITU</t>
        </is>
      </c>
      <c r="H14" s="47" t="inlineStr">
        <is>
          <t>https://data.worldbank.org/indicator/IT.NET.USER.ZS</t>
        </is>
      </c>
    </row>
    <row r="15" ht="28.8" customHeight="1" s="50">
      <c r="A15" s="41" t="inlineStr">
        <is>
          <t>CIS</t>
        </is>
      </c>
      <c r="B15" s="41" t="inlineStr">
        <is>
          <t>Georgia</t>
        </is>
      </c>
      <c r="C15" s="41" t="inlineStr">
        <is>
          <t>CEV</t>
        </is>
      </c>
      <c r="D15" s="41" t="inlineStr">
        <is>
          <t>Commercial Electronics &amp; Visual Systems</t>
        </is>
      </c>
      <c r="E15" s="48" t="inlineStr">
        <is>
          <t>Medium</t>
        </is>
      </c>
      <c r="F15" s="41" t="inlineStr">
        <is>
          <t>Commercial display and workplace-system demand is growing selectively.</t>
        </is>
      </c>
      <c r="G15" s="47" t="inlineStr">
        <is>
          <t>World Bank / ITU</t>
        </is>
      </c>
      <c r="H15" s="47" t="inlineStr">
        <is>
          <t>https://data.worldbank.org/indicator/IT.NET.USER.ZS</t>
        </is>
      </c>
    </row>
    <row r="16" ht="28.8" customHeight="1" s="50">
      <c r="A16" s="41" t="inlineStr">
        <is>
          <t>CIS</t>
        </is>
      </c>
      <c r="B16" s="41" t="inlineStr">
        <is>
          <t>Azerbaijan</t>
        </is>
      </c>
      <c r="C16" s="41" t="inlineStr">
        <is>
          <t>TEL</t>
        </is>
      </c>
      <c r="D16" s="41" t="inlineStr">
        <is>
          <t>Telecommunications Infrastructure</t>
        </is>
      </c>
      <c r="E16" s="48" t="inlineStr">
        <is>
          <t>High</t>
        </is>
      </c>
      <c r="F16" s="41" t="inlineStr">
        <is>
          <t>Strong broadband / mobile infrastructure need and upgrade cycle.</t>
        </is>
      </c>
      <c r="G16" s="47" t="inlineStr">
        <is>
          <t>World Bank / ITU</t>
        </is>
      </c>
      <c r="H16" s="47" t="inlineStr">
        <is>
          <t>https://data.worldbank.org/indicator/IT.NET.USER.ZS</t>
        </is>
      </c>
    </row>
    <row r="17" ht="28.8" customHeight="1" s="50">
      <c r="A17" s="41" t="inlineStr">
        <is>
          <t>CIS</t>
        </is>
      </c>
      <c r="B17" s="41" t="inlineStr">
        <is>
          <t>Azerbaijan</t>
        </is>
      </c>
      <c r="C17" s="41" t="inlineStr">
        <is>
          <t>NET</t>
        </is>
      </c>
      <c r="D17" s="41" t="inlineStr">
        <is>
          <t>Networking &amp; Data Systems</t>
        </is>
      </c>
      <c r="E17" s="48" t="inlineStr">
        <is>
          <t>Medium</t>
        </is>
      </c>
      <c r="F17" s="41" t="inlineStr">
        <is>
          <t>Steady network refresh and connectivity expansion support demand.</t>
        </is>
      </c>
      <c r="G17" s="47" t="inlineStr">
        <is>
          <t>World Bank / ITU</t>
        </is>
      </c>
      <c r="H17" s="47" t="inlineStr">
        <is>
          <t>https://data.worldbank.org/indicator/IT.NET.USER.ZS</t>
        </is>
      </c>
    </row>
    <row r="18" ht="28.8" customHeight="1" s="50">
      <c r="A18" s="41" t="inlineStr">
        <is>
          <t>CIS</t>
        </is>
      </c>
      <c r="B18" s="41" t="inlineStr">
        <is>
          <t>Azerbaijan</t>
        </is>
      </c>
      <c r="C18" s="41" t="inlineStr">
        <is>
          <t>SEC</t>
        </is>
      </c>
      <c r="D18" s="41" t="inlineStr">
        <is>
          <t>Security &amp; Surveillance</t>
        </is>
      </c>
      <c r="E18" s="48" t="inlineStr">
        <is>
          <t>Medium</t>
        </is>
      </c>
      <c r="F18" s="41" t="inlineStr">
        <is>
          <t>Security demand is present across buildings and infrastructure, but project scale is uneven.</t>
        </is>
      </c>
      <c r="G18" s="47" t="inlineStr">
        <is>
          <t>World Bank / ITU</t>
        </is>
      </c>
      <c r="H18" s="47" t="inlineStr">
        <is>
          <t>https://data.worldbank.org/indicator/IT.NET.USER.ZS</t>
        </is>
      </c>
    </row>
    <row r="19" ht="28.8" customHeight="1" s="50">
      <c r="A19" s="41" t="inlineStr">
        <is>
          <t>CIS</t>
        </is>
      </c>
      <c r="B19" s="41" t="inlineStr">
        <is>
          <t>Azerbaijan</t>
        </is>
      </c>
      <c r="C19" s="41" t="inlineStr">
        <is>
          <t>SBL</t>
        </is>
      </c>
      <c r="D19" s="41" t="inlineStr">
        <is>
          <t>Smart Building &amp; IoT</t>
        </is>
      </c>
      <c r="E19" s="48" t="inlineStr">
        <is>
          <t>Medium</t>
        </is>
      </c>
      <c r="F19" s="41" t="inlineStr">
        <is>
          <t>Smart-building demand is growing, mainly in commercial and premium projects.</t>
        </is>
      </c>
      <c r="G19" s="47" t="inlineStr">
        <is>
          <t>World Bank / ITU</t>
        </is>
      </c>
      <c r="H19" s="47" t="inlineStr">
        <is>
          <t>https://data.worldbank.org/indicator/IT.NET.USER.ZS</t>
        </is>
      </c>
    </row>
    <row r="20" ht="28.8" customHeight="1" s="50">
      <c r="A20" s="41" t="inlineStr">
        <is>
          <t>CIS</t>
        </is>
      </c>
      <c r="B20" s="41" t="inlineStr">
        <is>
          <t>Azerbaijan</t>
        </is>
      </c>
      <c r="C20" s="41" t="inlineStr">
        <is>
          <t>DCA</t>
        </is>
      </c>
      <c r="D20" s="41" t="inlineStr">
        <is>
          <t>Data Centre &amp; AI Infrastructure</t>
        </is>
      </c>
      <c r="E20" s="48" t="inlineStr">
        <is>
          <t>Low</t>
        </is>
      </c>
      <c r="F20" s="41" t="inlineStr">
        <is>
          <t>Datacenter demand is still early-stage or constrained by power / market scale.</t>
        </is>
      </c>
      <c r="G20" s="47" t="inlineStr">
        <is>
          <t>World Bank / ITU</t>
        </is>
      </c>
      <c r="H20" s="47" t="inlineStr">
        <is>
          <t>https://data.worldbank.org/indicator/IT.NET.USER.ZS</t>
        </is>
      </c>
    </row>
    <row r="21" ht="28.8" customHeight="1" s="50">
      <c r="A21" s="41" t="inlineStr">
        <is>
          <t>CIS</t>
        </is>
      </c>
      <c r="B21" s="41" t="inlineStr">
        <is>
          <t>Azerbaijan</t>
        </is>
      </c>
      <c r="C21" s="41" t="inlineStr">
        <is>
          <t>ROB</t>
        </is>
      </c>
      <c r="D21" s="41" t="inlineStr">
        <is>
          <t>Robotics &amp; Intelligent Devices</t>
        </is>
      </c>
      <c r="E21" s="48" t="inlineStr">
        <is>
          <t>Low</t>
        </is>
      </c>
      <c r="F21" s="41" t="inlineStr">
        <is>
          <t>Robotics remains early-stage and not yet a broad purchasing priority.</t>
        </is>
      </c>
      <c r="G21" s="47" t="inlineStr">
        <is>
          <t>World Bank / ITU</t>
        </is>
      </c>
      <c r="H21" s="47" t="inlineStr">
        <is>
          <t>https://data.worldbank.org/indicator/IT.NET.USER.ZS</t>
        </is>
      </c>
    </row>
    <row r="22" ht="28.8" customHeight="1" s="50">
      <c r="A22" s="41" t="inlineStr">
        <is>
          <t>CIS</t>
        </is>
      </c>
      <c r="B22" s="41" t="inlineStr">
        <is>
          <t>Azerbaijan</t>
        </is>
      </c>
      <c r="C22" s="41" t="inlineStr">
        <is>
          <t>CEV</t>
        </is>
      </c>
      <c r="D22" s="41" t="inlineStr">
        <is>
          <t>Commercial Electronics &amp; Visual Systems</t>
        </is>
      </c>
      <c r="E22" s="48" t="inlineStr">
        <is>
          <t>Medium</t>
        </is>
      </c>
      <c r="F22" s="41" t="inlineStr">
        <is>
          <t>Commercial display and workplace-system demand is growing selectively.</t>
        </is>
      </c>
      <c r="G22" s="47" t="inlineStr">
        <is>
          <t>World Bank / ITU</t>
        </is>
      </c>
      <c r="H22" s="47" t="inlineStr">
        <is>
          <t>https://data.worldbank.org/indicator/IT.NET.USER.ZS</t>
        </is>
      </c>
    </row>
    <row r="23" ht="28.8" customHeight="1" s="50">
      <c r="A23" s="41" t="inlineStr">
        <is>
          <t>Central Asia</t>
        </is>
      </c>
      <c r="B23" s="41" t="inlineStr">
        <is>
          <t>Kazakhstan</t>
        </is>
      </c>
      <c r="C23" s="41" t="inlineStr">
        <is>
          <t>TEL</t>
        </is>
      </c>
      <c r="D23" s="41" t="inlineStr">
        <is>
          <t>Telecommunications Infrastructure</t>
        </is>
      </c>
      <c r="E23" s="48" t="inlineStr">
        <is>
          <t>High</t>
        </is>
      </c>
      <c r="F23" s="41" t="inlineStr">
        <is>
          <t>Strong broadband / mobile infrastructure need and upgrade cycle.</t>
        </is>
      </c>
      <c r="G23" s="47" t="inlineStr">
        <is>
          <t>World Bank / ITU</t>
        </is>
      </c>
      <c r="H23" s="47" t="inlineStr">
        <is>
          <t>https://data.worldbank.org/indicator/IT.NET.USER.ZS</t>
        </is>
      </c>
    </row>
    <row r="24" ht="28.8" customHeight="1" s="50">
      <c r="A24" s="41" t="inlineStr">
        <is>
          <t>Central Asia</t>
        </is>
      </c>
      <c r="B24" s="41" t="inlineStr">
        <is>
          <t>Kazakhstan</t>
        </is>
      </c>
      <c r="C24" s="41" t="inlineStr">
        <is>
          <t>NET</t>
        </is>
      </c>
      <c r="D24" s="41" t="inlineStr">
        <is>
          <t>Networking &amp; Data Systems</t>
        </is>
      </c>
      <c r="E24" s="48" t="inlineStr">
        <is>
          <t>High</t>
        </is>
      </c>
      <c r="F24" s="41" t="inlineStr">
        <is>
          <t>Enterprise digitization and traffic growth support switching, routing and LAN demand.</t>
        </is>
      </c>
      <c r="G24" s="47" t="inlineStr">
        <is>
          <t>World Bank / ITU</t>
        </is>
      </c>
      <c r="H24" s="47" t="inlineStr">
        <is>
          <t>https://data.worldbank.org/indicator/IT.NET.USER.ZS</t>
        </is>
      </c>
    </row>
    <row r="25" ht="28.8" customHeight="1" s="50">
      <c r="A25" s="41" t="inlineStr">
        <is>
          <t>Central Asia</t>
        </is>
      </c>
      <c r="B25" s="41" t="inlineStr">
        <is>
          <t>Kazakhstan</t>
        </is>
      </c>
      <c r="C25" s="41" t="inlineStr">
        <is>
          <t>SEC</t>
        </is>
      </c>
      <c r="D25" s="41" t="inlineStr">
        <is>
          <t>Security &amp; Surveillance</t>
        </is>
      </c>
      <c r="E25" s="48" t="inlineStr">
        <is>
          <t>Medium</t>
        </is>
      </c>
      <c r="F25" s="41" t="inlineStr">
        <is>
          <t>Security demand is present across buildings and infrastructure, but project scale is uneven.</t>
        </is>
      </c>
      <c r="G25" s="47" t="inlineStr">
        <is>
          <t>World Bank / ITU</t>
        </is>
      </c>
      <c r="H25" s="47" t="inlineStr">
        <is>
          <t>https://data.worldbank.org/indicator/IT.NET.USER.ZS</t>
        </is>
      </c>
    </row>
    <row r="26" ht="28.8" customHeight="1" s="50">
      <c r="A26" s="41" t="inlineStr">
        <is>
          <t>Central Asia</t>
        </is>
      </c>
      <c r="B26" s="41" t="inlineStr">
        <is>
          <t>Kazakhstan</t>
        </is>
      </c>
      <c r="C26" s="41" t="inlineStr">
        <is>
          <t>SBL</t>
        </is>
      </c>
      <c r="D26" s="41" t="inlineStr">
        <is>
          <t>Smart Building &amp; IoT</t>
        </is>
      </c>
      <c r="E26" s="48" t="inlineStr">
        <is>
          <t>Low</t>
        </is>
      </c>
      <c r="F26" s="41" t="inlineStr">
        <is>
          <t>Adoption remains selective and concentrated in higher-end developments.</t>
        </is>
      </c>
      <c r="G26" s="47" t="inlineStr">
        <is>
          <t>World Bank / ITU</t>
        </is>
      </c>
      <c r="H26" s="47" t="inlineStr">
        <is>
          <t>https://data.worldbank.org/indicator/IT.NET.USER.ZS</t>
        </is>
      </c>
    </row>
    <row r="27" ht="28.8" customHeight="1" s="50">
      <c r="A27" s="41" t="inlineStr">
        <is>
          <t>Central Asia</t>
        </is>
      </c>
      <c r="B27" s="41" t="inlineStr">
        <is>
          <t>Kazakhstan</t>
        </is>
      </c>
      <c r="C27" s="41" t="inlineStr">
        <is>
          <t>DCA</t>
        </is>
      </c>
      <c r="D27" s="41" t="inlineStr">
        <is>
          <t>Data Centre &amp; AI Infrastructure</t>
        </is>
      </c>
      <c r="E27" s="48" t="inlineStr">
        <is>
          <t>Medium</t>
        </is>
      </c>
      <c r="F27" s="41" t="inlineStr">
        <is>
          <t>Emerging demand exists through enterprise, colocation or regional hub development.</t>
        </is>
      </c>
      <c r="G27" s="47" t="inlineStr">
        <is>
          <t>World Bank / ITU</t>
        </is>
      </c>
      <c r="H27" s="47" t="inlineStr">
        <is>
          <t>https://data.worldbank.org/indicator/IT.NET.USER.ZS</t>
        </is>
      </c>
    </row>
    <row r="28" ht="28.8" customHeight="1" s="50">
      <c r="A28" s="41" t="inlineStr">
        <is>
          <t>Central Asia</t>
        </is>
      </c>
      <c r="B28" s="41" t="inlineStr">
        <is>
          <t>Kazakhstan</t>
        </is>
      </c>
      <c r="C28" s="41" t="inlineStr">
        <is>
          <t>ROB</t>
        </is>
      </c>
      <c r="D28" s="41" t="inlineStr">
        <is>
          <t>Robotics &amp; Intelligent Devices</t>
        </is>
      </c>
      <c r="E28" s="48" t="inlineStr">
        <is>
          <t>Low</t>
        </is>
      </c>
      <c r="F28" s="41" t="inlineStr">
        <is>
          <t>Robotics remains early-stage and not yet a broad purchasing priority.</t>
        </is>
      </c>
      <c r="G28" s="47" t="inlineStr">
        <is>
          <t>World Bank / ITU</t>
        </is>
      </c>
      <c r="H28" s="47" t="inlineStr">
        <is>
          <t>https://data.worldbank.org/indicator/IT.NET.USER.ZS</t>
        </is>
      </c>
    </row>
    <row r="29" ht="28.8" customHeight="1" s="50">
      <c r="A29" s="41" t="inlineStr">
        <is>
          <t>Central Asia</t>
        </is>
      </c>
      <c r="B29" s="41" t="inlineStr">
        <is>
          <t>Kazakhstan</t>
        </is>
      </c>
      <c r="C29" s="41" t="inlineStr">
        <is>
          <t>CEV</t>
        </is>
      </c>
      <c r="D29" s="41" t="inlineStr">
        <is>
          <t>Commercial Electronics &amp; Visual Systems</t>
        </is>
      </c>
      <c r="E29" s="48" t="inlineStr">
        <is>
          <t>Medium</t>
        </is>
      </c>
      <c r="F29" s="41" t="inlineStr">
        <is>
          <t>Commercial display and workplace-system demand is growing selectively.</t>
        </is>
      </c>
      <c r="G29" s="47" t="inlineStr">
        <is>
          <t>World Bank / ITU</t>
        </is>
      </c>
      <c r="H29" s="47" t="inlineStr">
        <is>
          <t>https://data.worldbank.org/indicator/IT.NET.USER.ZS</t>
        </is>
      </c>
    </row>
    <row r="30" ht="28.8" customHeight="1" s="50">
      <c r="A30" s="41" t="inlineStr">
        <is>
          <t>Central Asia</t>
        </is>
      </c>
      <c r="B30" s="41" t="inlineStr">
        <is>
          <t>Uzbekistan</t>
        </is>
      </c>
      <c r="C30" s="41" t="inlineStr">
        <is>
          <t>TEL</t>
        </is>
      </c>
      <c r="D30" s="41" t="inlineStr">
        <is>
          <t>Telecommunications Infrastructure</t>
        </is>
      </c>
      <c r="E30" s="48" t="inlineStr">
        <is>
          <t>High</t>
        </is>
      </c>
      <c r="F30" s="41" t="inlineStr">
        <is>
          <t>Strong broadband / mobile infrastructure need and upgrade cycle.</t>
        </is>
      </c>
      <c r="G30" s="47" t="inlineStr">
        <is>
          <t>World Bank / ITU</t>
        </is>
      </c>
      <c r="H30" s="47" t="inlineStr">
        <is>
          <t>https://data.worldbank.org/indicator/IT.NET.USER.ZS</t>
        </is>
      </c>
    </row>
    <row r="31" ht="28.8" customHeight="1" s="50">
      <c r="A31" s="41" t="inlineStr">
        <is>
          <t>Central Asia</t>
        </is>
      </c>
      <c r="B31" s="41" t="inlineStr">
        <is>
          <t>Uzbekistan</t>
        </is>
      </c>
      <c r="C31" s="41" t="inlineStr">
        <is>
          <t>NET</t>
        </is>
      </c>
      <c r="D31" s="41" t="inlineStr">
        <is>
          <t>Networking &amp; Data Systems</t>
        </is>
      </c>
      <c r="E31" s="48" t="inlineStr">
        <is>
          <t>High</t>
        </is>
      </c>
      <c r="F31" s="41" t="inlineStr">
        <is>
          <t>Enterprise digitization and traffic growth support switching, routing and LAN demand.</t>
        </is>
      </c>
      <c r="G31" s="47" t="inlineStr">
        <is>
          <t>World Bank / ITU</t>
        </is>
      </c>
      <c r="H31" s="47" t="inlineStr">
        <is>
          <t>https://data.worldbank.org/indicator/IT.NET.USER.ZS</t>
        </is>
      </c>
    </row>
    <row r="32" ht="28.8" customHeight="1" s="50">
      <c r="A32" s="41" t="inlineStr">
        <is>
          <t>Central Asia</t>
        </is>
      </c>
      <c r="B32" s="41" t="inlineStr">
        <is>
          <t>Uzbekistan</t>
        </is>
      </c>
      <c r="C32" s="41" t="inlineStr">
        <is>
          <t>SEC</t>
        </is>
      </c>
      <c r="D32" s="41" t="inlineStr">
        <is>
          <t>Security &amp; Surveillance</t>
        </is>
      </c>
      <c r="E32" s="48" t="inlineStr">
        <is>
          <t>Medium</t>
        </is>
      </c>
      <c r="F32" s="41" t="inlineStr">
        <is>
          <t>Security demand is present across buildings and infrastructure, but project scale is uneven.</t>
        </is>
      </c>
      <c r="G32" s="47" t="inlineStr">
        <is>
          <t>World Bank / ITU</t>
        </is>
      </c>
      <c r="H32" s="47" t="inlineStr">
        <is>
          <t>https://data.worldbank.org/indicator/IT.NET.USER.ZS</t>
        </is>
      </c>
    </row>
    <row r="33" ht="28.8" customHeight="1" s="50">
      <c r="A33" s="41" t="inlineStr">
        <is>
          <t>Central Asia</t>
        </is>
      </c>
      <c r="B33" s="41" t="inlineStr">
        <is>
          <t>Uzbekistan</t>
        </is>
      </c>
      <c r="C33" s="41" t="inlineStr">
        <is>
          <t>SBL</t>
        </is>
      </c>
      <c r="D33" s="41" t="inlineStr">
        <is>
          <t>Smart Building &amp; IoT</t>
        </is>
      </c>
      <c r="E33" s="48" t="inlineStr">
        <is>
          <t>Low</t>
        </is>
      </c>
      <c r="F33" s="41" t="inlineStr">
        <is>
          <t>Adoption remains selective and concentrated in higher-end developments.</t>
        </is>
      </c>
      <c r="G33" s="47" t="inlineStr">
        <is>
          <t>World Bank / ITU</t>
        </is>
      </c>
      <c r="H33" s="47" t="inlineStr">
        <is>
          <t>https://data.worldbank.org/indicator/IT.NET.USER.ZS</t>
        </is>
      </c>
    </row>
    <row r="34" ht="28.8" customHeight="1" s="50">
      <c r="A34" s="41" t="inlineStr">
        <is>
          <t>Central Asia</t>
        </is>
      </c>
      <c r="B34" s="41" t="inlineStr">
        <is>
          <t>Uzbekistan</t>
        </is>
      </c>
      <c r="C34" s="41" t="inlineStr">
        <is>
          <t>DCA</t>
        </is>
      </c>
      <c r="D34" s="41" t="inlineStr">
        <is>
          <t>Data Centre &amp; AI Infrastructure</t>
        </is>
      </c>
      <c r="E34" s="48" t="inlineStr">
        <is>
          <t>Low</t>
        </is>
      </c>
      <c r="F34" s="41" t="inlineStr">
        <is>
          <t>Datacenter demand is still early-stage or constrained by power / market scale.</t>
        </is>
      </c>
      <c r="G34" s="47" t="inlineStr">
        <is>
          <t>World Bank / ITU</t>
        </is>
      </c>
      <c r="H34" s="47" t="inlineStr">
        <is>
          <t>https://data.worldbank.org/indicator/IT.NET.USER.ZS</t>
        </is>
      </c>
    </row>
    <row r="35" ht="28.8" customHeight="1" s="50">
      <c r="A35" s="41" t="inlineStr">
        <is>
          <t>Central Asia</t>
        </is>
      </c>
      <c r="B35" s="41" t="inlineStr">
        <is>
          <t>Uzbekistan</t>
        </is>
      </c>
      <c r="C35" s="41" t="inlineStr">
        <is>
          <t>ROB</t>
        </is>
      </c>
      <c r="D35" s="41" t="inlineStr">
        <is>
          <t>Robotics &amp; Intelligent Devices</t>
        </is>
      </c>
      <c r="E35" s="48" t="inlineStr">
        <is>
          <t>Low</t>
        </is>
      </c>
      <c r="F35" s="41" t="inlineStr">
        <is>
          <t>Robotics remains early-stage and not yet a broad purchasing priority.</t>
        </is>
      </c>
      <c r="G35" s="47" t="inlineStr">
        <is>
          <t>World Bank / ITU</t>
        </is>
      </c>
      <c r="H35" s="47" t="inlineStr">
        <is>
          <t>https://data.worldbank.org/indicator/IT.NET.USER.ZS</t>
        </is>
      </c>
    </row>
    <row r="36" ht="28.8" customHeight="1" s="50">
      <c r="A36" s="41" t="inlineStr">
        <is>
          <t>Central Asia</t>
        </is>
      </c>
      <c r="B36" s="41" t="inlineStr">
        <is>
          <t>Uzbekistan</t>
        </is>
      </c>
      <c r="C36" s="41" t="inlineStr">
        <is>
          <t>CEV</t>
        </is>
      </c>
      <c r="D36" s="41" t="inlineStr">
        <is>
          <t>Commercial Electronics &amp; Visual Systems</t>
        </is>
      </c>
      <c r="E36" s="48" t="inlineStr">
        <is>
          <t>Medium</t>
        </is>
      </c>
      <c r="F36" s="41" t="inlineStr">
        <is>
          <t>Commercial display and workplace-system demand is growing selectively.</t>
        </is>
      </c>
      <c r="G36" s="47" t="inlineStr">
        <is>
          <t>World Bank / ITU</t>
        </is>
      </c>
      <c r="H36" s="47" t="inlineStr">
        <is>
          <t>https://data.worldbank.org/indicator/IT.NET.USER.ZS</t>
        </is>
      </c>
    </row>
    <row r="37" ht="28.8" customHeight="1" s="50">
      <c r="A37" s="41" t="inlineStr">
        <is>
          <t>Central Asia</t>
        </is>
      </c>
      <c r="B37" s="41" t="inlineStr">
        <is>
          <t>Kyrgyzstan</t>
        </is>
      </c>
      <c r="C37" s="41" t="inlineStr">
        <is>
          <t>TEL</t>
        </is>
      </c>
      <c r="D37" s="41" t="inlineStr">
        <is>
          <t>Telecommunications Infrastructure</t>
        </is>
      </c>
      <c r="E37" s="48" t="inlineStr">
        <is>
          <t>Low</t>
        </is>
      </c>
      <c r="F37" s="41" t="inlineStr">
        <is>
          <t>Need exists, but market scale or execution conditions limit demand.</t>
        </is>
      </c>
      <c r="G37" s="47" t="inlineStr">
        <is>
          <t>World Bank / ITU</t>
        </is>
      </c>
      <c r="H37" s="47" t="inlineStr">
        <is>
          <t>https://data.worldbank.org/indicator/IT.NET.USER.ZS</t>
        </is>
      </c>
    </row>
    <row r="38" ht="28.8" customHeight="1" s="50">
      <c r="A38" s="41" t="inlineStr">
        <is>
          <t>Central Asia</t>
        </is>
      </c>
      <c r="B38" s="41" t="inlineStr">
        <is>
          <t>Kyrgyzstan</t>
        </is>
      </c>
      <c r="C38" s="41" t="inlineStr">
        <is>
          <t>NET</t>
        </is>
      </c>
      <c r="D38" s="41" t="inlineStr">
        <is>
          <t>Networking &amp; Data Systems</t>
        </is>
      </c>
      <c r="E38" s="48" t="inlineStr">
        <is>
          <t>Low</t>
        </is>
      </c>
      <c r="F38" s="41" t="inlineStr">
        <is>
          <t>Networking demand exists, but budgets and project depth stay limited.</t>
        </is>
      </c>
      <c r="G38" s="47" t="inlineStr">
        <is>
          <t>World Bank / ITU</t>
        </is>
      </c>
      <c r="H38" s="47" t="inlineStr">
        <is>
          <t>https://data.worldbank.org/indicator/IT.NET.USER.ZS</t>
        </is>
      </c>
    </row>
    <row r="39" ht="28.8" customHeight="1" s="50">
      <c r="A39" s="41" t="inlineStr">
        <is>
          <t>Central Asia</t>
        </is>
      </c>
      <c r="B39" s="41" t="inlineStr">
        <is>
          <t>Kyrgyzstan</t>
        </is>
      </c>
      <c r="C39" s="41" t="inlineStr">
        <is>
          <t>SEC</t>
        </is>
      </c>
      <c r="D39" s="41" t="inlineStr">
        <is>
          <t>Security &amp; Surveillance</t>
        </is>
      </c>
      <c r="E39" s="48" t="inlineStr">
        <is>
          <t>Medium</t>
        </is>
      </c>
      <c r="F39" s="41" t="inlineStr">
        <is>
          <t>Security demand is present across buildings and infrastructure, but project scale is uneven.</t>
        </is>
      </c>
      <c r="G39" s="47" t="inlineStr">
        <is>
          <t>World Bank / ITU</t>
        </is>
      </c>
      <c r="H39" s="47" t="inlineStr">
        <is>
          <t>https://data.worldbank.org/indicator/IT.NET.USER.ZS</t>
        </is>
      </c>
    </row>
    <row r="40" ht="28.8" customHeight="1" s="50">
      <c r="A40" s="41" t="inlineStr">
        <is>
          <t>Central Asia</t>
        </is>
      </c>
      <c r="B40" s="41" t="inlineStr">
        <is>
          <t>Kyrgyzstan</t>
        </is>
      </c>
      <c r="C40" s="41" t="inlineStr">
        <is>
          <t>SBL</t>
        </is>
      </c>
      <c r="D40" s="41" t="inlineStr">
        <is>
          <t>Smart Building &amp; IoT</t>
        </is>
      </c>
      <c r="E40" s="48" t="inlineStr">
        <is>
          <t>Low</t>
        </is>
      </c>
      <c r="F40" s="41" t="inlineStr">
        <is>
          <t>Adoption remains selective and concentrated in higher-end developments.</t>
        </is>
      </c>
      <c r="G40" s="47" t="inlineStr">
        <is>
          <t>World Bank / ITU</t>
        </is>
      </c>
      <c r="H40" s="47" t="inlineStr">
        <is>
          <t>https://data.worldbank.org/indicator/IT.NET.USER.ZS</t>
        </is>
      </c>
    </row>
    <row r="41" ht="28.8" customHeight="1" s="50">
      <c r="A41" s="41" t="inlineStr">
        <is>
          <t>Central Asia</t>
        </is>
      </c>
      <c r="B41" s="41" t="inlineStr">
        <is>
          <t>Kyrgyzstan</t>
        </is>
      </c>
      <c r="C41" s="41" t="inlineStr">
        <is>
          <t>DCA</t>
        </is>
      </c>
      <c r="D41" s="41" t="inlineStr">
        <is>
          <t>Data Centre &amp; AI Infrastructure</t>
        </is>
      </c>
      <c r="E41" s="48" t="inlineStr">
        <is>
          <t>Low</t>
        </is>
      </c>
      <c r="F41" s="41" t="inlineStr">
        <is>
          <t>Datacenter demand is still early-stage or constrained by power / market scale.</t>
        </is>
      </c>
      <c r="G41" s="47" t="inlineStr">
        <is>
          <t>World Bank / ITU</t>
        </is>
      </c>
      <c r="H41" s="47" t="inlineStr">
        <is>
          <t>https://data.worldbank.org/indicator/IT.NET.USER.ZS</t>
        </is>
      </c>
    </row>
    <row r="42" ht="28.8" customHeight="1" s="50">
      <c r="A42" s="41" t="inlineStr">
        <is>
          <t>Central Asia</t>
        </is>
      </c>
      <c r="B42" s="41" t="inlineStr">
        <is>
          <t>Kyrgyzstan</t>
        </is>
      </c>
      <c r="C42" s="41" t="inlineStr">
        <is>
          <t>ROB</t>
        </is>
      </c>
      <c r="D42" s="41" t="inlineStr">
        <is>
          <t>Robotics &amp; Intelligent Devices</t>
        </is>
      </c>
      <c r="E42" s="48" t="inlineStr">
        <is>
          <t>Low</t>
        </is>
      </c>
      <c r="F42" s="41" t="inlineStr">
        <is>
          <t>Robotics remains early-stage and not yet a broad purchasing priority.</t>
        </is>
      </c>
      <c r="G42" s="47" t="inlineStr">
        <is>
          <t>World Bank / ITU</t>
        </is>
      </c>
      <c r="H42" s="47" t="inlineStr">
        <is>
          <t>https://data.worldbank.org/indicator/IT.NET.USER.ZS</t>
        </is>
      </c>
    </row>
    <row r="43" ht="28.8" customHeight="1" s="50">
      <c r="A43" s="41" t="inlineStr">
        <is>
          <t>Central Asia</t>
        </is>
      </c>
      <c r="B43" s="41" t="inlineStr">
        <is>
          <t>Kyrgyzstan</t>
        </is>
      </c>
      <c r="C43" s="41" t="inlineStr">
        <is>
          <t>CEV</t>
        </is>
      </c>
      <c r="D43" s="41" t="inlineStr">
        <is>
          <t>Commercial Electronics &amp; Visual Systems</t>
        </is>
      </c>
      <c r="E43" s="48" t="inlineStr">
        <is>
          <t>Low</t>
        </is>
      </c>
      <c r="F43" s="41" t="inlineStr">
        <is>
          <t>Commercial electronics demand is present, but not yet a primary budget area.</t>
        </is>
      </c>
      <c r="G43" s="47" t="inlineStr">
        <is>
          <t>World Bank / ITU</t>
        </is>
      </c>
      <c r="H43" s="47" t="inlineStr">
        <is>
          <t>https://data.worldbank.org/indicator/IT.NET.USER.ZS</t>
        </is>
      </c>
    </row>
    <row r="44" ht="28.8" customHeight="1" s="50">
      <c r="A44" s="41" t="inlineStr">
        <is>
          <t>Central Asia</t>
        </is>
      </c>
      <c r="B44" s="41" t="inlineStr">
        <is>
          <t>Tajikistan</t>
        </is>
      </c>
      <c r="C44" s="41" t="inlineStr">
        <is>
          <t>TEL</t>
        </is>
      </c>
      <c r="D44" s="41" t="inlineStr">
        <is>
          <t>Telecommunications Infrastructure</t>
        </is>
      </c>
      <c r="E44" s="48" t="inlineStr">
        <is>
          <t>Low</t>
        </is>
      </c>
      <c r="F44" s="41" t="inlineStr">
        <is>
          <t>Need exists, but market scale or execution conditions limit demand.</t>
        </is>
      </c>
      <c r="G44" s="47" t="inlineStr">
        <is>
          <t>World Bank / ITU</t>
        </is>
      </c>
      <c r="H44" s="47" t="inlineStr">
        <is>
          <t>https://data.worldbank.org/indicator/IT.NET.USER.ZS</t>
        </is>
      </c>
    </row>
    <row r="45" ht="28.8" customHeight="1" s="50">
      <c r="A45" s="41" t="inlineStr">
        <is>
          <t>Central Asia</t>
        </is>
      </c>
      <c r="B45" s="41" t="inlineStr">
        <is>
          <t>Tajikistan</t>
        </is>
      </c>
      <c r="C45" s="41" t="inlineStr">
        <is>
          <t>NET</t>
        </is>
      </c>
      <c r="D45" s="41" t="inlineStr">
        <is>
          <t>Networking &amp; Data Systems</t>
        </is>
      </c>
      <c r="E45" s="48" t="inlineStr">
        <is>
          <t>Low</t>
        </is>
      </c>
      <c r="F45" s="41" t="inlineStr">
        <is>
          <t>Networking demand exists, but budgets and project depth stay limited.</t>
        </is>
      </c>
      <c r="G45" s="47" t="inlineStr">
        <is>
          <t>World Bank / ITU</t>
        </is>
      </c>
      <c r="H45" s="47" t="inlineStr">
        <is>
          <t>https://data.worldbank.org/indicator/IT.NET.USER.ZS</t>
        </is>
      </c>
    </row>
    <row r="46" ht="28.8" customHeight="1" s="50">
      <c r="A46" s="41" t="inlineStr">
        <is>
          <t>Central Asia</t>
        </is>
      </c>
      <c r="B46" s="41" t="inlineStr">
        <is>
          <t>Tajikistan</t>
        </is>
      </c>
      <c r="C46" s="41" t="inlineStr">
        <is>
          <t>SEC</t>
        </is>
      </c>
      <c r="D46" s="41" t="inlineStr">
        <is>
          <t>Security &amp; Surveillance</t>
        </is>
      </c>
      <c r="E46" s="48" t="inlineStr">
        <is>
          <t>Low</t>
        </is>
      </c>
      <c r="F46" s="41" t="inlineStr">
        <is>
          <t>Security demand exists, but budgets and integrated projects remain limited.</t>
        </is>
      </c>
      <c r="G46" s="47" t="inlineStr">
        <is>
          <t>World Bank / ITU</t>
        </is>
      </c>
      <c r="H46" s="47" t="inlineStr">
        <is>
          <t>https://data.worldbank.org/indicator/IT.NET.USER.ZS</t>
        </is>
      </c>
    </row>
    <row r="47" ht="28.8" customHeight="1" s="50">
      <c r="A47" s="41" t="inlineStr">
        <is>
          <t>Central Asia</t>
        </is>
      </c>
      <c r="B47" s="41" t="inlineStr">
        <is>
          <t>Tajikistan</t>
        </is>
      </c>
      <c r="C47" s="41" t="inlineStr">
        <is>
          <t>SBL</t>
        </is>
      </c>
      <c r="D47" s="41" t="inlineStr">
        <is>
          <t>Smart Building &amp; IoT</t>
        </is>
      </c>
      <c r="E47" s="48" t="inlineStr">
        <is>
          <t>Low</t>
        </is>
      </c>
      <c r="F47" s="41" t="inlineStr">
        <is>
          <t>Adoption remains selective and concentrated in higher-end developments.</t>
        </is>
      </c>
      <c r="G47" s="47" t="inlineStr">
        <is>
          <t>World Bank / ITU</t>
        </is>
      </c>
      <c r="H47" s="47" t="inlineStr">
        <is>
          <t>https://data.worldbank.org/indicator/IT.NET.USER.ZS</t>
        </is>
      </c>
    </row>
    <row r="48" ht="28.8" customHeight="1" s="50">
      <c r="A48" s="41" t="inlineStr">
        <is>
          <t>Central Asia</t>
        </is>
      </c>
      <c r="B48" s="41" t="inlineStr">
        <is>
          <t>Tajikistan</t>
        </is>
      </c>
      <c r="C48" s="41" t="inlineStr">
        <is>
          <t>DCA</t>
        </is>
      </c>
      <c r="D48" s="41" t="inlineStr">
        <is>
          <t>Data Centre &amp; AI Infrastructure</t>
        </is>
      </c>
      <c r="E48" s="48" t="inlineStr">
        <is>
          <t>Low</t>
        </is>
      </c>
      <c r="F48" s="41" t="inlineStr">
        <is>
          <t>Datacenter demand is still early-stage or constrained by power / market scale.</t>
        </is>
      </c>
      <c r="G48" s="47" t="inlineStr">
        <is>
          <t>World Bank / ITU</t>
        </is>
      </c>
      <c r="H48" s="47" t="inlineStr">
        <is>
          <t>https://data.worldbank.org/indicator/IT.NET.USER.ZS</t>
        </is>
      </c>
    </row>
    <row r="49" ht="28.8" customHeight="1" s="50">
      <c r="A49" s="41" t="inlineStr">
        <is>
          <t>Central Asia</t>
        </is>
      </c>
      <c r="B49" s="41" t="inlineStr">
        <is>
          <t>Tajikistan</t>
        </is>
      </c>
      <c r="C49" s="41" t="inlineStr">
        <is>
          <t>ROB</t>
        </is>
      </c>
      <c r="D49" s="41" t="inlineStr">
        <is>
          <t>Robotics &amp; Intelligent Devices</t>
        </is>
      </c>
      <c r="E49" s="48" t="inlineStr">
        <is>
          <t>Low</t>
        </is>
      </c>
      <c r="F49" s="41" t="inlineStr">
        <is>
          <t>Robotics remains early-stage and not yet a broad purchasing priority.</t>
        </is>
      </c>
      <c r="G49" s="47" t="inlineStr">
        <is>
          <t>World Bank / ITU</t>
        </is>
      </c>
      <c r="H49" s="47" t="inlineStr">
        <is>
          <t>https://data.worldbank.org/indicator/IT.NET.USER.ZS</t>
        </is>
      </c>
    </row>
    <row r="50" ht="28.8" customHeight="1" s="50">
      <c r="A50" s="41" t="inlineStr">
        <is>
          <t>Central Asia</t>
        </is>
      </c>
      <c r="B50" s="41" t="inlineStr">
        <is>
          <t>Tajikistan</t>
        </is>
      </c>
      <c r="C50" s="41" t="inlineStr">
        <is>
          <t>CEV</t>
        </is>
      </c>
      <c r="D50" s="41" t="inlineStr">
        <is>
          <t>Commercial Electronics &amp; Visual Systems</t>
        </is>
      </c>
      <c r="E50" s="48" t="inlineStr">
        <is>
          <t>Low</t>
        </is>
      </c>
      <c r="F50" s="41" t="inlineStr">
        <is>
          <t>Commercial electronics demand is present, but not yet a primary budget area.</t>
        </is>
      </c>
      <c r="G50" s="47" t="inlineStr">
        <is>
          <t>World Bank / ITU</t>
        </is>
      </c>
      <c r="H50" s="47" t="inlineStr">
        <is>
          <t>https://data.worldbank.org/indicator/IT.NET.USER.ZS</t>
        </is>
      </c>
    </row>
    <row r="51" ht="28.8" customHeight="1" s="50">
      <c r="A51" s="41" t="inlineStr">
        <is>
          <t>Central Asia</t>
        </is>
      </c>
      <c r="B51" s="41" t="inlineStr">
        <is>
          <t>Turkmenistan</t>
        </is>
      </c>
      <c r="C51" s="41" t="inlineStr">
        <is>
          <t>TEL</t>
        </is>
      </c>
      <c r="D51" s="41" t="inlineStr">
        <is>
          <t>Telecommunications Infrastructure</t>
        </is>
      </c>
      <c r="E51" s="48" t="inlineStr">
        <is>
          <t>Low</t>
        </is>
      </c>
      <c r="F51" s="41" t="inlineStr">
        <is>
          <t>Need exists, but market scale or execution conditions limit demand.</t>
        </is>
      </c>
      <c r="G51" s="47" t="inlineStr">
        <is>
          <t>World Bank / ITU</t>
        </is>
      </c>
      <c r="H51" s="47" t="inlineStr">
        <is>
          <t>https://data.worldbank.org/indicator/IT.NET.USER.ZS</t>
        </is>
      </c>
    </row>
    <row r="52" ht="28.8" customHeight="1" s="50">
      <c r="A52" s="41" t="inlineStr">
        <is>
          <t>Central Asia</t>
        </is>
      </c>
      <c r="B52" s="41" t="inlineStr">
        <is>
          <t>Turkmenistan</t>
        </is>
      </c>
      <c r="C52" s="41" t="inlineStr">
        <is>
          <t>NET</t>
        </is>
      </c>
      <c r="D52" s="41" t="inlineStr">
        <is>
          <t>Networking &amp; Data Systems</t>
        </is>
      </c>
      <c r="E52" s="48" t="inlineStr">
        <is>
          <t>Low</t>
        </is>
      </c>
      <c r="F52" s="41" t="inlineStr">
        <is>
          <t>Networking demand exists, but budgets and project depth stay limited.</t>
        </is>
      </c>
      <c r="G52" s="47" t="inlineStr">
        <is>
          <t>World Bank / ITU</t>
        </is>
      </c>
      <c r="H52" s="47" t="inlineStr">
        <is>
          <t>https://data.worldbank.org/indicator/IT.NET.USER.ZS</t>
        </is>
      </c>
    </row>
    <row r="53" ht="28.8" customHeight="1" s="50">
      <c r="A53" s="41" t="inlineStr">
        <is>
          <t>Central Asia</t>
        </is>
      </c>
      <c r="B53" s="41" t="inlineStr">
        <is>
          <t>Turkmenistan</t>
        </is>
      </c>
      <c r="C53" s="41" t="inlineStr">
        <is>
          <t>SEC</t>
        </is>
      </c>
      <c r="D53" s="41" t="inlineStr">
        <is>
          <t>Security &amp; Surveillance</t>
        </is>
      </c>
      <c r="E53" s="48" t="inlineStr">
        <is>
          <t>Low</t>
        </is>
      </c>
      <c r="F53" s="41" t="inlineStr">
        <is>
          <t>Security demand exists, but budgets and integrated projects remain limited.</t>
        </is>
      </c>
      <c r="G53" s="47" t="inlineStr">
        <is>
          <t>World Bank / ITU</t>
        </is>
      </c>
      <c r="H53" s="47" t="inlineStr">
        <is>
          <t>https://data.worldbank.org/indicator/IT.NET.USER.ZS</t>
        </is>
      </c>
    </row>
    <row r="54" ht="28.8" customHeight="1" s="50">
      <c r="A54" s="41" t="inlineStr">
        <is>
          <t>Central Asia</t>
        </is>
      </c>
      <c r="B54" s="41" t="inlineStr">
        <is>
          <t>Turkmenistan</t>
        </is>
      </c>
      <c r="C54" s="41" t="inlineStr">
        <is>
          <t>SBL</t>
        </is>
      </c>
      <c r="D54" s="41" t="inlineStr">
        <is>
          <t>Smart Building &amp; IoT</t>
        </is>
      </c>
      <c r="E54" s="48" t="inlineStr">
        <is>
          <t>Low</t>
        </is>
      </c>
      <c r="F54" s="41" t="inlineStr">
        <is>
          <t>Adoption remains selective and concentrated in higher-end developments.</t>
        </is>
      </c>
      <c r="G54" s="47" t="inlineStr">
        <is>
          <t>World Bank / ITU</t>
        </is>
      </c>
      <c r="H54" s="47" t="inlineStr">
        <is>
          <t>https://data.worldbank.org/indicator/IT.NET.USER.ZS</t>
        </is>
      </c>
    </row>
    <row r="55" ht="28.8" customHeight="1" s="50">
      <c r="A55" s="41" t="inlineStr">
        <is>
          <t>Central Asia</t>
        </is>
      </c>
      <c r="B55" s="41" t="inlineStr">
        <is>
          <t>Turkmenistan</t>
        </is>
      </c>
      <c r="C55" s="41" t="inlineStr">
        <is>
          <t>DCA</t>
        </is>
      </c>
      <c r="D55" s="41" t="inlineStr">
        <is>
          <t>Data Centre &amp; AI Infrastructure</t>
        </is>
      </c>
      <c r="E55" s="48" t="inlineStr">
        <is>
          <t>Low</t>
        </is>
      </c>
      <c r="F55" s="41" t="inlineStr">
        <is>
          <t>Datacenter demand is still early-stage or constrained by power / market scale.</t>
        </is>
      </c>
      <c r="G55" s="47" t="inlineStr">
        <is>
          <t>World Bank / ITU</t>
        </is>
      </c>
      <c r="H55" s="47" t="inlineStr">
        <is>
          <t>https://data.worldbank.org/indicator/IT.NET.USER.ZS</t>
        </is>
      </c>
    </row>
    <row r="56" ht="28.8" customHeight="1" s="50">
      <c r="A56" s="41" t="inlineStr">
        <is>
          <t>Central Asia</t>
        </is>
      </c>
      <c r="B56" s="41" t="inlineStr">
        <is>
          <t>Turkmenistan</t>
        </is>
      </c>
      <c r="C56" s="41" t="inlineStr">
        <is>
          <t>ROB</t>
        </is>
      </c>
      <c r="D56" s="41" t="inlineStr">
        <is>
          <t>Robotics &amp; Intelligent Devices</t>
        </is>
      </c>
      <c r="E56" s="48" t="inlineStr">
        <is>
          <t>Low</t>
        </is>
      </c>
      <c r="F56" s="41" t="inlineStr">
        <is>
          <t>Robotics remains early-stage and not yet a broad purchasing priority.</t>
        </is>
      </c>
      <c r="G56" s="47" t="inlineStr">
        <is>
          <t>World Bank / ITU</t>
        </is>
      </c>
      <c r="H56" s="47" t="inlineStr">
        <is>
          <t>https://data.worldbank.org/indicator/IT.NET.USER.ZS</t>
        </is>
      </c>
    </row>
    <row r="57" ht="28.8" customHeight="1" s="50">
      <c r="A57" s="41" t="inlineStr">
        <is>
          <t>Central Asia</t>
        </is>
      </c>
      <c r="B57" s="41" t="inlineStr">
        <is>
          <t>Turkmenistan</t>
        </is>
      </c>
      <c r="C57" s="41" t="inlineStr">
        <is>
          <t>CEV</t>
        </is>
      </c>
      <c r="D57" s="41" t="inlineStr">
        <is>
          <t>Commercial Electronics &amp; Visual Systems</t>
        </is>
      </c>
      <c r="E57" s="48" t="inlineStr">
        <is>
          <t>Low</t>
        </is>
      </c>
      <c r="F57" s="41" t="inlineStr">
        <is>
          <t>Commercial electronics demand is present, but not yet a primary budget area.</t>
        </is>
      </c>
      <c r="G57" s="47" t="inlineStr">
        <is>
          <t>World Bank / ITU</t>
        </is>
      </c>
      <c r="H57" s="47" t="inlineStr">
        <is>
          <t>https://data.worldbank.org/indicator/IT.NET.USER.ZS</t>
        </is>
      </c>
    </row>
    <row r="58" ht="28.8" customHeight="1" s="50">
      <c r="A58" s="41" t="inlineStr">
        <is>
          <t>Central Asia</t>
        </is>
      </c>
      <c r="B58" s="41" t="inlineStr">
        <is>
          <t>Afghanistan</t>
        </is>
      </c>
      <c r="C58" s="41" t="inlineStr">
        <is>
          <t>TEL</t>
        </is>
      </c>
      <c r="D58" s="41" t="inlineStr">
        <is>
          <t>Telecommunications Infrastructure</t>
        </is>
      </c>
      <c r="E58" s="48" t="inlineStr">
        <is>
          <t>Low</t>
        </is>
      </c>
      <c r="F58" s="41" t="inlineStr">
        <is>
          <t>Need exists, but market scale or execution conditions limit demand.</t>
        </is>
      </c>
      <c r="G58" s="47" t="inlineStr">
        <is>
          <t>World Bank / ITU</t>
        </is>
      </c>
      <c r="H58" s="47" t="inlineStr">
        <is>
          <t>https://data.worldbank.org/indicator/IT.NET.USER.ZS</t>
        </is>
      </c>
    </row>
    <row r="59" ht="28.8" customHeight="1" s="50">
      <c r="A59" s="41" t="inlineStr">
        <is>
          <t>Central Asia</t>
        </is>
      </c>
      <c r="B59" s="41" t="inlineStr">
        <is>
          <t>Afghanistan</t>
        </is>
      </c>
      <c r="C59" s="41" t="inlineStr">
        <is>
          <t>NET</t>
        </is>
      </c>
      <c r="D59" s="41" t="inlineStr">
        <is>
          <t>Networking &amp; Data Systems</t>
        </is>
      </c>
      <c r="E59" s="48" t="inlineStr">
        <is>
          <t>Low</t>
        </is>
      </c>
      <c r="F59" s="41" t="inlineStr">
        <is>
          <t>Networking demand exists, but budgets and project depth stay limited.</t>
        </is>
      </c>
      <c r="G59" s="47" t="inlineStr">
        <is>
          <t>World Bank / ITU</t>
        </is>
      </c>
      <c r="H59" s="47" t="inlineStr">
        <is>
          <t>https://data.worldbank.org/indicator/IT.NET.USER.ZS</t>
        </is>
      </c>
    </row>
    <row r="60" ht="28.8" customHeight="1" s="50">
      <c r="A60" s="41" t="inlineStr">
        <is>
          <t>Central Asia</t>
        </is>
      </c>
      <c r="B60" s="41" t="inlineStr">
        <is>
          <t>Afghanistan</t>
        </is>
      </c>
      <c r="C60" s="41" t="inlineStr">
        <is>
          <t>SEC</t>
        </is>
      </c>
      <c r="D60" s="41" t="inlineStr">
        <is>
          <t>Security &amp; Surveillance</t>
        </is>
      </c>
      <c r="E60" s="48" t="inlineStr">
        <is>
          <t>Low</t>
        </is>
      </c>
      <c r="F60" s="41" t="inlineStr">
        <is>
          <t>Security demand exists, but budgets and integrated projects remain limited.</t>
        </is>
      </c>
      <c r="G60" s="47" t="inlineStr">
        <is>
          <t>World Bank / ITU</t>
        </is>
      </c>
      <c r="H60" s="47" t="inlineStr">
        <is>
          <t>https://data.worldbank.org/indicator/IT.NET.USER.ZS</t>
        </is>
      </c>
    </row>
    <row r="61" ht="28.8" customHeight="1" s="50">
      <c r="A61" s="41" t="inlineStr">
        <is>
          <t>Central Asia</t>
        </is>
      </c>
      <c r="B61" s="41" t="inlineStr">
        <is>
          <t>Afghanistan</t>
        </is>
      </c>
      <c r="C61" s="41" t="inlineStr">
        <is>
          <t>SBL</t>
        </is>
      </c>
      <c r="D61" s="41" t="inlineStr">
        <is>
          <t>Smart Building &amp; IoT</t>
        </is>
      </c>
      <c r="E61" s="48" t="inlineStr">
        <is>
          <t>Low</t>
        </is>
      </c>
      <c r="F61" s="41" t="inlineStr">
        <is>
          <t>Adoption remains selective and concentrated in higher-end developments.</t>
        </is>
      </c>
      <c r="G61" s="47" t="inlineStr">
        <is>
          <t>World Bank / ITU</t>
        </is>
      </c>
      <c r="H61" s="47" t="inlineStr">
        <is>
          <t>https://data.worldbank.org/indicator/IT.NET.USER.ZS</t>
        </is>
      </c>
    </row>
    <row r="62" ht="28.8" customHeight="1" s="50">
      <c r="A62" s="41" t="inlineStr">
        <is>
          <t>Central Asia</t>
        </is>
      </c>
      <c r="B62" s="41" t="inlineStr">
        <is>
          <t>Afghanistan</t>
        </is>
      </c>
      <c r="C62" s="41" t="inlineStr">
        <is>
          <t>DCA</t>
        </is>
      </c>
      <c r="D62" s="41" t="inlineStr">
        <is>
          <t>Data Centre &amp; AI Infrastructure</t>
        </is>
      </c>
      <c r="E62" s="48" t="inlineStr">
        <is>
          <t>Low</t>
        </is>
      </c>
      <c r="F62" s="41" t="inlineStr">
        <is>
          <t>Datacenter demand is still early-stage or constrained by power / market scale.</t>
        </is>
      </c>
      <c r="G62" s="47" t="inlineStr">
        <is>
          <t>World Bank / ITU</t>
        </is>
      </c>
      <c r="H62" s="47" t="inlineStr">
        <is>
          <t>https://data.worldbank.org/indicator/IT.NET.USER.ZS</t>
        </is>
      </c>
    </row>
    <row r="63" ht="28.8" customHeight="1" s="50">
      <c r="A63" s="41" t="inlineStr">
        <is>
          <t>Central Asia</t>
        </is>
      </c>
      <c r="B63" s="41" t="inlineStr">
        <is>
          <t>Afghanistan</t>
        </is>
      </c>
      <c r="C63" s="41" t="inlineStr">
        <is>
          <t>ROB</t>
        </is>
      </c>
      <c r="D63" s="41" t="inlineStr">
        <is>
          <t>Robotics &amp; Intelligent Devices</t>
        </is>
      </c>
      <c r="E63" s="48" t="inlineStr">
        <is>
          <t>Low</t>
        </is>
      </c>
      <c r="F63" s="41" t="inlineStr">
        <is>
          <t>Robotics remains early-stage and not yet a broad purchasing priority.</t>
        </is>
      </c>
      <c r="G63" s="47" t="inlineStr">
        <is>
          <t>World Bank / ITU</t>
        </is>
      </c>
      <c r="H63" s="47" t="inlineStr">
        <is>
          <t>https://data.worldbank.org/indicator/IT.NET.USER.ZS</t>
        </is>
      </c>
    </row>
    <row r="64" ht="28.8" customHeight="1" s="50">
      <c r="A64" s="41" t="inlineStr">
        <is>
          <t>Central Asia</t>
        </is>
      </c>
      <c r="B64" s="41" t="inlineStr">
        <is>
          <t>Afghanistan</t>
        </is>
      </c>
      <c r="C64" s="41" t="inlineStr">
        <is>
          <t>CEV</t>
        </is>
      </c>
      <c r="D64" s="41" t="inlineStr">
        <is>
          <t>Commercial Electronics &amp; Visual Systems</t>
        </is>
      </c>
      <c r="E64" s="48" t="inlineStr">
        <is>
          <t>Low</t>
        </is>
      </c>
      <c r="F64" s="41" t="inlineStr">
        <is>
          <t>Commercial electronics demand is present, but not yet a primary budget area.</t>
        </is>
      </c>
      <c r="G64" s="47" t="inlineStr">
        <is>
          <t>World Bank / ITU</t>
        </is>
      </c>
      <c r="H64" s="47" t="inlineStr">
        <is>
          <t>https://data.worldbank.org/indicator/IT.NET.USER.ZS</t>
        </is>
      </c>
    </row>
    <row r="65" ht="43.2" customHeight="1" s="50">
      <c r="A65" s="41" t="inlineStr">
        <is>
          <t>Latin America</t>
        </is>
      </c>
      <c r="B65" s="41" t="inlineStr">
        <is>
          <t>Brazil</t>
        </is>
      </c>
      <c r="C65" s="41" t="inlineStr">
        <is>
          <t>TEL</t>
        </is>
      </c>
      <c r="D65" s="41" t="inlineStr">
        <is>
          <t>Telecommunications Infrastructure</t>
        </is>
      </c>
      <c r="E65" s="48" t="inlineStr">
        <is>
          <t>High</t>
        </is>
      </c>
      <c r="F65" s="41" t="inlineStr">
        <is>
          <t>Strong broadband / mobile infrastructure need and upgrade cycle.</t>
        </is>
      </c>
      <c r="G65" s="47" t="inlineStr">
        <is>
          <t>GSMA / World Bank</t>
        </is>
      </c>
      <c r="H65" s="47" t="inlineStr">
        <is>
          <t>https://www.gsma.com/solutions-and-impact/connectivity-for-good/mobile-economy/the-mobile-economy-2025/</t>
        </is>
      </c>
    </row>
    <row r="66" ht="43.2" customHeight="1" s="50">
      <c r="A66" s="41" t="inlineStr">
        <is>
          <t>Latin America</t>
        </is>
      </c>
      <c r="B66" s="41" t="inlineStr">
        <is>
          <t>Brazil</t>
        </is>
      </c>
      <c r="C66" s="41" t="inlineStr">
        <is>
          <t>NET</t>
        </is>
      </c>
      <c r="D66" s="41" t="inlineStr">
        <is>
          <t>Networking &amp; Data Systems</t>
        </is>
      </c>
      <c r="E66" s="48" t="inlineStr">
        <is>
          <t>High</t>
        </is>
      </c>
      <c r="F66" s="41" t="inlineStr">
        <is>
          <t>Enterprise digitization and traffic growth support switching, routing and LAN demand.</t>
        </is>
      </c>
      <c r="G66" s="47" t="inlineStr">
        <is>
          <t>GSMA / World Bank</t>
        </is>
      </c>
      <c r="H66" s="47" t="inlineStr">
        <is>
          <t>https://www.gsma.com/solutions-and-impact/connectivity-for-good/mobile-economy/the-mobile-economy-2025/</t>
        </is>
      </c>
    </row>
    <row r="67" ht="43.2" customHeight="1" s="50">
      <c r="A67" s="41" t="inlineStr">
        <is>
          <t>Latin America</t>
        </is>
      </c>
      <c r="B67" s="41" t="inlineStr">
        <is>
          <t>Brazil</t>
        </is>
      </c>
      <c r="C67" s="41" t="inlineStr">
        <is>
          <t>SEC</t>
        </is>
      </c>
      <c r="D67" s="41" t="inlineStr">
        <is>
          <t>Security &amp; Surveillance</t>
        </is>
      </c>
      <c r="E67" s="48" t="inlineStr">
        <is>
          <t>High</t>
        </is>
      </c>
      <c r="F67" s="41" t="inlineStr">
        <is>
          <t>Security spending, site protection and public/private monitoring needs are strong.</t>
        </is>
      </c>
      <c r="G67" s="47" t="inlineStr">
        <is>
          <t>GSMA / World Bank</t>
        </is>
      </c>
      <c r="H67" s="47" t="inlineStr">
        <is>
          <t>https://www.gsma.com/solutions-and-impact/connectivity-for-good/mobile-economy/the-mobile-economy-2025/</t>
        </is>
      </c>
    </row>
    <row r="68" ht="43.2" customHeight="1" s="50">
      <c r="A68" s="41" t="inlineStr">
        <is>
          <t>Latin America</t>
        </is>
      </c>
      <c r="B68" s="41" t="inlineStr">
        <is>
          <t>Brazil</t>
        </is>
      </c>
      <c r="C68" s="41" t="inlineStr">
        <is>
          <t>SBL</t>
        </is>
      </c>
      <c r="D68" s="41" t="inlineStr">
        <is>
          <t>Smart Building &amp; IoT</t>
        </is>
      </c>
      <c r="E68" s="48" t="inlineStr">
        <is>
          <t>High</t>
        </is>
      </c>
      <c r="F68" s="41" t="inlineStr">
        <is>
          <t>Real-estate modernization and connected-building demand support smart systems.</t>
        </is>
      </c>
      <c r="G68" s="47" t="inlineStr">
        <is>
          <t>GSMA / World Bank</t>
        </is>
      </c>
      <c r="H68" s="47" t="inlineStr">
        <is>
          <t>https://www.gsma.com/solutions-and-impact/connectivity-for-good/mobile-economy/the-mobile-economy-2025/</t>
        </is>
      </c>
    </row>
    <row r="69" ht="43.2" customHeight="1" s="50">
      <c r="A69" s="41" t="inlineStr">
        <is>
          <t>Latin America</t>
        </is>
      </c>
      <c r="B69" s="41" t="inlineStr">
        <is>
          <t>Brazil</t>
        </is>
      </c>
      <c r="C69" s="41" t="inlineStr">
        <is>
          <t>DCA</t>
        </is>
      </c>
      <c r="D69" s="41" t="inlineStr">
        <is>
          <t>Data Centre &amp; AI Infrastructure</t>
        </is>
      </c>
      <c r="E69" s="48" t="inlineStr">
        <is>
          <t>High</t>
        </is>
      </c>
      <c r="F69" s="41" t="inlineStr">
        <is>
          <t>Cloud, AI and enterprise compute growth create strong data-center infrastructure demand.</t>
        </is>
      </c>
      <c r="G69" s="47" t="inlineStr">
        <is>
          <t>GSMA / World Bank</t>
        </is>
      </c>
      <c r="H69" s="47" t="inlineStr">
        <is>
          <t>https://www.gsma.com/solutions-and-impact/connectivity-for-good/mobile-economy/the-mobile-economy-2025/</t>
        </is>
      </c>
    </row>
    <row r="70" ht="43.2" customHeight="1" s="50">
      <c r="A70" s="41" t="inlineStr">
        <is>
          <t>Latin America</t>
        </is>
      </c>
      <c r="B70" s="41" t="inlineStr">
        <is>
          <t>Brazil</t>
        </is>
      </c>
      <c r="C70" s="41" t="inlineStr">
        <is>
          <t>ROB</t>
        </is>
      </c>
      <c r="D70" s="41" t="inlineStr">
        <is>
          <t>Robotics &amp; Intelligent Devices</t>
        </is>
      </c>
      <c r="E70" s="48" t="inlineStr">
        <is>
          <t>Low</t>
        </is>
      </c>
      <c r="F70" s="41" t="inlineStr">
        <is>
          <t>Robotics remains early-stage and not yet a broad purchasing priority.</t>
        </is>
      </c>
      <c r="G70" s="47" t="inlineStr">
        <is>
          <t>GSMA / World Bank</t>
        </is>
      </c>
      <c r="H70" s="47" t="inlineStr">
        <is>
          <t>https://www.gsma.com/solutions-and-impact/connectivity-for-good/mobile-economy/the-mobile-economy-2025/</t>
        </is>
      </c>
    </row>
    <row r="71" ht="43.2" customHeight="1" s="50">
      <c r="A71" s="41" t="inlineStr">
        <is>
          <t>Latin America</t>
        </is>
      </c>
      <c r="B71" s="41" t="inlineStr">
        <is>
          <t>Brazil</t>
        </is>
      </c>
      <c r="C71" s="41" t="inlineStr">
        <is>
          <t>CEV</t>
        </is>
      </c>
      <c r="D71" s="41" t="inlineStr">
        <is>
          <t>Commercial Electronics &amp; Visual Systems</t>
        </is>
      </c>
      <c r="E71" s="48" t="inlineStr">
        <is>
          <t>High</t>
        </is>
      </c>
      <c r="F71" s="41" t="inlineStr">
        <is>
          <t>Retail, enterprise and public-space modernization support strong AV/display demand.</t>
        </is>
      </c>
      <c r="G71" s="47" t="inlineStr">
        <is>
          <t>GSMA / World Bank</t>
        </is>
      </c>
      <c r="H71" s="47" t="inlineStr">
        <is>
          <t>https://www.gsma.com/solutions-and-impact/connectivity-for-good/mobile-economy/the-mobile-economy-2025/</t>
        </is>
      </c>
    </row>
    <row r="72" ht="43.2" customHeight="1" s="50">
      <c r="A72" s="41" t="inlineStr">
        <is>
          <t>Latin America</t>
        </is>
      </c>
      <c r="B72" s="41" t="inlineStr">
        <is>
          <t>Mexico</t>
        </is>
      </c>
      <c r="C72" s="41" t="inlineStr">
        <is>
          <t>TEL</t>
        </is>
      </c>
      <c r="D72" s="41" t="inlineStr">
        <is>
          <t>Telecommunications Infrastructure</t>
        </is>
      </c>
      <c r="E72" s="48" t="inlineStr">
        <is>
          <t>High</t>
        </is>
      </c>
      <c r="F72" s="41" t="inlineStr">
        <is>
          <t>Strong broadband / mobile infrastructure need and upgrade cycle.</t>
        </is>
      </c>
      <c r="G72" s="47" t="inlineStr">
        <is>
          <t>GSMA / World Bank</t>
        </is>
      </c>
      <c r="H72" s="47" t="inlineStr">
        <is>
          <t>https://www.gsma.com/solutions-and-impact/connectivity-for-good/mobile-economy/the-mobile-economy-2025/</t>
        </is>
      </c>
    </row>
    <row r="73" ht="43.2" customHeight="1" s="50">
      <c r="A73" s="41" t="inlineStr">
        <is>
          <t>Latin America</t>
        </is>
      </c>
      <c r="B73" s="41" t="inlineStr">
        <is>
          <t>Mexico</t>
        </is>
      </c>
      <c r="C73" s="41" t="inlineStr">
        <is>
          <t>NET</t>
        </is>
      </c>
      <c r="D73" s="41" t="inlineStr">
        <is>
          <t>Networking &amp; Data Systems</t>
        </is>
      </c>
      <c r="E73" s="48" t="inlineStr">
        <is>
          <t>High</t>
        </is>
      </c>
      <c r="F73" s="41" t="inlineStr">
        <is>
          <t>Enterprise digitization and traffic growth support switching, routing and LAN demand.</t>
        </is>
      </c>
      <c r="G73" s="47" t="inlineStr">
        <is>
          <t>GSMA / World Bank</t>
        </is>
      </c>
      <c r="H73" s="47" t="inlineStr">
        <is>
          <t>https://www.gsma.com/solutions-and-impact/connectivity-for-good/mobile-economy/the-mobile-economy-2025/</t>
        </is>
      </c>
    </row>
    <row r="74" ht="43.2" customHeight="1" s="50">
      <c r="A74" s="41" t="inlineStr">
        <is>
          <t>Latin America</t>
        </is>
      </c>
      <c r="B74" s="41" t="inlineStr">
        <is>
          <t>Mexico</t>
        </is>
      </c>
      <c r="C74" s="41" t="inlineStr">
        <is>
          <t>SEC</t>
        </is>
      </c>
      <c r="D74" s="41" t="inlineStr">
        <is>
          <t>Security &amp; Surveillance</t>
        </is>
      </c>
      <c r="E74" s="48" t="inlineStr">
        <is>
          <t>High</t>
        </is>
      </c>
      <c r="F74" s="41" t="inlineStr">
        <is>
          <t>Security spending, site protection and public/private monitoring needs are strong.</t>
        </is>
      </c>
      <c r="G74" s="47" t="inlineStr">
        <is>
          <t>GSMA / World Bank</t>
        </is>
      </c>
      <c r="H74" s="47" t="inlineStr">
        <is>
          <t>https://www.gsma.com/solutions-and-impact/connectivity-for-good/mobile-economy/the-mobile-economy-2025/</t>
        </is>
      </c>
    </row>
    <row r="75" ht="43.2" customHeight="1" s="50">
      <c r="A75" s="41" t="inlineStr">
        <is>
          <t>Latin America</t>
        </is>
      </c>
      <c r="B75" s="41" t="inlineStr">
        <is>
          <t>Mexico</t>
        </is>
      </c>
      <c r="C75" s="41" t="inlineStr">
        <is>
          <t>SBL</t>
        </is>
      </c>
      <c r="D75" s="41" t="inlineStr">
        <is>
          <t>Smart Building &amp; IoT</t>
        </is>
      </c>
      <c r="E75" s="48" t="inlineStr">
        <is>
          <t>Medium</t>
        </is>
      </c>
      <c r="F75" s="41" t="inlineStr">
        <is>
          <t>Smart-building demand is growing, mainly in commercial and premium projects.</t>
        </is>
      </c>
      <c r="G75" s="47" t="inlineStr">
        <is>
          <t>GSMA / World Bank</t>
        </is>
      </c>
      <c r="H75" s="47" t="inlineStr">
        <is>
          <t>https://www.gsma.com/solutions-and-impact/connectivity-for-good/mobile-economy/the-mobile-economy-2025/</t>
        </is>
      </c>
    </row>
    <row r="76" ht="43.2" customHeight="1" s="50">
      <c r="A76" s="41" t="inlineStr">
        <is>
          <t>Latin America</t>
        </is>
      </c>
      <c r="B76" s="41" t="inlineStr">
        <is>
          <t>Mexico</t>
        </is>
      </c>
      <c r="C76" s="41" t="inlineStr">
        <is>
          <t>DCA</t>
        </is>
      </c>
      <c r="D76" s="41" t="inlineStr">
        <is>
          <t>Data Centre &amp; AI Infrastructure</t>
        </is>
      </c>
      <c r="E76" s="48" t="inlineStr">
        <is>
          <t>Medium</t>
        </is>
      </c>
      <c r="F76" s="41" t="inlineStr">
        <is>
          <t>Emerging demand exists through enterprise, colocation or regional hub development.</t>
        </is>
      </c>
      <c r="G76" s="47" t="inlineStr">
        <is>
          <t>GSMA / World Bank</t>
        </is>
      </c>
      <c r="H76" s="47" t="inlineStr">
        <is>
          <t>https://www.gsma.com/solutions-and-impact/connectivity-for-good/mobile-economy/the-mobile-economy-2025/</t>
        </is>
      </c>
    </row>
    <row r="77" ht="43.2" customHeight="1" s="50">
      <c r="A77" s="41" t="inlineStr">
        <is>
          <t>Latin America</t>
        </is>
      </c>
      <c r="B77" s="41" t="inlineStr">
        <is>
          <t>Mexico</t>
        </is>
      </c>
      <c r="C77" s="41" t="inlineStr">
        <is>
          <t>ROB</t>
        </is>
      </c>
      <c r="D77" s="41" t="inlineStr">
        <is>
          <t>Robotics &amp; Intelligent Devices</t>
        </is>
      </c>
      <c r="E77" s="48" t="inlineStr">
        <is>
          <t>Low</t>
        </is>
      </c>
      <c r="F77" s="41" t="inlineStr">
        <is>
          <t>Robotics remains early-stage and not yet a broad purchasing priority.</t>
        </is>
      </c>
      <c r="G77" s="47" t="inlineStr">
        <is>
          <t>GSMA / World Bank</t>
        </is>
      </c>
      <c r="H77" s="47" t="inlineStr">
        <is>
          <t>https://www.gsma.com/solutions-and-impact/connectivity-for-good/mobile-economy/the-mobile-economy-2025/</t>
        </is>
      </c>
    </row>
    <row r="78" ht="43.2" customHeight="1" s="50">
      <c r="A78" s="41" t="inlineStr">
        <is>
          <t>Latin America</t>
        </is>
      </c>
      <c r="B78" s="41" t="inlineStr">
        <is>
          <t>Mexico</t>
        </is>
      </c>
      <c r="C78" s="41" t="inlineStr">
        <is>
          <t>CEV</t>
        </is>
      </c>
      <c r="D78" s="41" t="inlineStr">
        <is>
          <t>Commercial Electronics &amp; Visual Systems</t>
        </is>
      </c>
      <c r="E78" s="48" t="inlineStr">
        <is>
          <t>High</t>
        </is>
      </c>
      <c r="F78" s="41" t="inlineStr">
        <is>
          <t>Retail, enterprise and public-space modernization support strong AV/display demand.</t>
        </is>
      </c>
      <c r="G78" s="47" t="inlineStr">
        <is>
          <t>GSMA / World Bank</t>
        </is>
      </c>
      <c r="H78" s="47" t="inlineStr">
        <is>
          <t>https://www.gsma.com/solutions-and-impact/connectivity-for-good/mobile-economy/the-mobile-economy-2025/</t>
        </is>
      </c>
    </row>
    <row r="79" ht="43.2" customHeight="1" s="50">
      <c r="A79" s="41" t="inlineStr">
        <is>
          <t>Latin America</t>
        </is>
      </c>
      <c r="B79" s="41" t="inlineStr">
        <is>
          <t>Chile</t>
        </is>
      </c>
      <c r="C79" s="41" t="inlineStr">
        <is>
          <t>TEL</t>
        </is>
      </c>
      <c r="D79" s="41" t="inlineStr">
        <is>
          <t>Telecommunications Infrastructure</t>
        </is>
      </c>
      <c r="E79" s="48" t="inlineStr">
        <is>
          <t>Medium</t>
        </is>
      </c>
      <c r="F79" s="41" t="inlineStr">
        <is>
          <t>Selective fiber and access-network expansion supports demand.</t>
        </is>
      </c>
      <c r="G79" s="47" t="inlineStr">
        <is>
          <t>GSMA / World Bank</t>
        </is>
      </c>
      <c r="H79" s="47" t="inlineStr">
        <is>
          <t>https://www.gsma.com/solutions-and-impact/connectivity-for-good/mobile-economy/the-mobile-economy-2025/</t>
        </is>
      </c>
    </row>
    <row r="80" ht="43.2" customHeight="1" s="50">
      <c r="A80" s="41" t="inlineStr">
        <is>
          <t>Latin America</t>
        </is>
      </c>
      <c r="B80" s="41" t="inlineStr">
        <is>
          <t>Chile</t>
        </is>
      </c>
      <c r="C80" s="41" t="inlineStr">
        <is>
          <t>NET</t>
        </is>
      </c>
      <c r="D80" s="41" t="inlineStr">
        <is>
          <t>Networking &amp; Data Systems</t>
        </is>
      </c>
      <c r="E80" s="48" t="inlineStr">
        <is>
          <t>High</t>
        </is>
      </c>
      <c r="F80" s="41" t="inlineStr">
        <is>
          <t>Enterprise digitization and traffic growth support switching, routing and LAN demand.</t>
        </is>
      </c>
      <c r="G80" s="47" t="inlineStr">
        <is>
          <t>GSMA / World Bank</t>
        </is>
      </c>
      <c r="H80" s="47" t="inlineStr">
        <is>
          <t>https://www.gsma.com/solutions-and-impact/connectivity-for-good/mobile-economy/the-mobile-economy-2025/</t>
        </is>
      </c>
    </row>
    <row r="81" ht="43.2" customHeight="1" s="50">
      <c r="A81" s="41" t="inlineStr">
        <is>
          <t>Latin America</t>
        </is>
      </c>
      <c r="B81" s="41" t="inlineStr">
        <is>
          <t>Chile</t>
        </is>
      </c>
      <c r="C81" s="41" t="inlineStr">
        <is>
          <t>SEC</t>
        </is>
      </c>
      <c r="D81" s="41" t="inlineStr">
        <is>
          <t>Security &amp; Surveillance</t>
        </is>
      </c>
      <c r="E81" s="48" t="inlineStr">
        <is>
          <t>High</t>
        </is>
      </c>
      <c r="F81" s="41" t="inlineStr">
        <is>
          <t>Security spending, site protection and public/private monitoring needs are strong.</t>
        </is>
      </c>
      <c r="G81" s="47" t="inlineStr">
        <is>
          <t>GSMA / World Bank</t>
        </is>
      </c>
      <c r="H81" s="47" t="inlineStr">
        <is>
          <t>https://www.gsma.com/solutions-and-impact/connectivity-for-good/mobile-economy/the-mobile-economy-2025/</t>
        </is>
      </c>
    </row>
    <row r="82" ht="43.2" customHeight="1" s="50">
      <c r="A82" s="41" t="inlineStr">
        <is>
          <t>Latin America</t>
        </is>
      </c>
      <c r="B82" s="41" t="inlineStr">
        <is>
          <t>Chile</t>
        </is>
      </c>
      <c r="C82" s="41" t="inlineStr">
        <is>
          <t>SBL</t>
        </is>
      </c>
      <c r="D82" s="41" t="inlineStr">
        <is>
          <t>Smart Building &amp; IoT</t>
        </is>
      </c>
      <c r="E82" s="48" t="inlineStr">
        <is>
          <t>Medium</t>
        </is>
      </c>
      <c r="F82" s="41" t="inlineStr">
        <is>
          <t>Smart-building demand is growing, mainly in commercial and premium projects.</t>
        </is>
      </c>
      <c r="G82" s="47" t="inlineStr">
        <is>
          <t>GSMA / World Bank</t>
        </is>
      </c>
      <c r="H82" s="47" t="inlineStr">
        <is>
          <t>https://www.gsma.com/solutions-and-impact/connectivity-for-good/mobile-economy/the-mobile-economy-2025/</t>
        </is>
      </c>
    </row>
    <row r="83" ht="43.2" customHeight="1" s="50">
      <c r="A83" s="41" t="inlineStr">
        <is>
          <t>Latin America</t>
        </is>
      </c>
      <c r="B83" s="41" t="inlineStr">
        <is>
          <t>Chile</t>
        </is>
      </c>
      <c r="C83" s="41" t="inlineStr">
        <is>
          <t>DCA</t>
        </is>
      </c>
      <c r="D83" s="41" t="inlineStr">
        <is>
          <t>Data Centre &amp; AI Infrastructure</t>
        </is>
      </c>
      <c r="E83" s="48" t="inlineStr">
        <is>
          <t>Medium</t>
        </is>
      </c>
      <c r="F83" s="41" t="inlineStr">
        <is>
          <t>Emerging demand exists through enterprise, colocation or regional hub development.</t>
        </is>
      </c>
      <c r="G83" s="47" t="inlineStr">
        <is>
          <t>GSMA / World Bank</t>
        </is>
      </c>
      <c r="H83" s="47" t="inlineStr">
        <is>
          <t>https://www.gsma.com/solutions-and-impact/connectivity-for-good/mobile-economy/the-mobile-economy-2025/</t>
        </is>
      </c>
    </row>
    <row r="84" ht="43.2" customHeight="1" s="50">
      <c r="A84" s="41" t="inlineStr">
        <is>
          <t>Latin America</t>
        </is>
      </c>
      <c r="B84" s="41" t="inlineStr">
        <is>
          <t>Chile</t>
        </is>
      </c>
      <c r="C84" s="41" t="inlineStr">
        <is>
          <t>ROB</t>
        </is>
      </c>
      <c r="D84" s="41" t="inlineStr">
        <is>
          <t>Robotics &amp; Intelligent Devices</t>
        </is>
      </c>
      <c r="E84" s="48" t="inlineStr">
        <is>
          <t>Low</t>
        </is>
      </c>
      <c r="F84" s="41" t="inlineStr">
        <is>
          <t>Robotics remains early-stage and not yet a broad purchasing priority.</t>
        </is>
      </c>
      <c r="G84" s="47" t="inlineStr">
        <is>
          <t>GSMA / World Bank</t>
        </is>
      </c>
      <c r="H84" s="47" t="inlineStr">
        <is>
          <t>https://www.gsma.com/solutions-and-impact/connectivity-for-good/mobile-economy/the-mobile-economy-2025/</t>
        </is>
      </c>
    </row>
    <row r="85" ht="43.2" customHeight="1" s="50">
      <c r="A85" s="41" t="inlineStr">
        <is>
          <t>Latin America</t>
        </is>
      </c>
      <c r="B85" s="41" t="inlineStr">
        <is>
          <t>Chile</t>
        </is>
      </c>
      <c r="C85" s="41" t="inlineStr">
        <is>
          <t>CEV</t>
        </is>
      </c>
      <c r="D85" s="41" t="inlineStr">
        <is>
          <t>Commercial Electronics &amp; Visual Systems</t>
        </is>
      </c>
      <c r="E85" s="48" t="inlineStr">
        <is>
          <t>Medium</t>
        </is>
      </c>
      <c r="F85" s="41" t="inlineStr">
        <is>
          <t>Commercial display and workplace-system demand is growing selectively.</t>
        </is>
      </c>
      <c r="G85" s="47" t="inlineStr">
        <is>
          <t>GSMA / World Bank</t>
        </is>
      </c>
      <c r="H85" s="47" t="inlineStr">
        <is>
          <t>https://www.gsma.com/solutions-and-impact/connectivity-for-good/mobile-economy/the-mobile-economy-2025/</t>
        </is>
      </c>
    </row>
    <row r="86" ht="43.2" customHeight="1" s="50">
      <c r="A86" s="41" t="inlineStr">
        <is>
          <t>Latin America</t>
        </is>
      </c>
      <c r="B86" s="41" t="inlineStr">
        <is>
          <t>Colombia</t>
        </is>
      </c>
      <c r="C86" s="41" t="inlineStr">
        <is>
          <t>TEL</t>
        </is>
      </c>
      <c r="D86" s="41" t="inlineStr">
        <is>
          <t>Telecommunications Infrastructure</t>
        </is>
      </c>
      <c r="E86" s="48" t="inlineStr">
        <is>
          <t>Medium</t>
        </is>
      </c>
      <c r="F86" s="41" t="inlineStr">
        <is>
          <t>Selective fiber and access-network expansion supports demand.</t>
        </is>
      </c>
      <c r="G86" s="47" t="inlineStr">
        <is>
          <t>GSMA / World Bank</t>
        </is>
      </c>
      <c r="H86" s="47" t="inlineStr">
        <is>
          <t>https://www.gsma.com/solutions-and-impact/connectivity-for-good/mobile-economy/the-mobile-economy-2025/</t>
        </is>
      </c>
    </row>
    <row r="87" ht="43.2" customHeight="1" s="50">
      <c r="A87" s="41" t="inlineStr">
        <is>
          <t>Latin America</t>
        </is>
      </c>
      <c r="B87" s="41" t="inlineStr">
        <is>
          <t>Colombia</t>
        </is>
      </c>
      <c r="C87" s="41" t="inlineStr">
        <is>
          <t>NET</t>
        </is>
      </c>
      <c r="D87" s="41" t="inlineStr">
        <is>
          <t>Networking &amp; Data Systems</t>
        </is>
      </c>
      <c r="E87" s="48" t="inlineStr">
        <is>
          <t>Medium</t>
        </is>
      </c>
      <c r="F87" s="41" t="inlineStr">
        <is>
          <t>Steady network refresh and connectivity expansion support demand.</t>
        </is>
      </c>
      <c r="G87" s="47" t="inlineStr">
        <is>
          <t>GSMA / World Bank</t>
        </is>
      </c>
      <c r="H87" s="47" t="inlineStr">
        <is>
          <t>https://www.gsma.com/solutions-and-impact/connectivity-for-good/mobile-economy/the-mobile-economy-2025/</t>
        </is>
      </c>
    </row>
    <row r="88" ht="43.2" customHeight="1" s="50">
      <c r="A88" s="41" t="inlineStr">
        <is>
          <t>Latin America</t>
        </is>
      </c>
      <c r="B88" s="41" t="inlineStr">
        <is>
          <t>Colombia</t>
        </is>
      </c>
      <c r="C88" s="41" t="inlineStr">
        <is>
          <t>SEC</t>
        </is>
      </c>
      <c r="D88" s="41" t="inlineStr">
        <is>
          <t>Security &amp; Surveillance</t>
        </is>
      </c>
      <c r="E88" s="48" t="inlineStr">
        <is>
          <t>High</t>
        </is>
      </c>
      <c r="F88" s="41" t="inlineStr">
        <is>
          <t>Security spending, site protection and public/private monitoring needs are strong.</t>
        </is>
      </c>
      <c r="G88" s="47" t="inlineStr">
        <is>
          <t>GSMA / World Bank</t>
        </is>
      </c>
      <c r="H88" s="47" t="inlineStr">
        <is>
          <t>https://www.gsma.com/solutions-and-impact/connectivity-for-good/mobile-economy/the-mobile-economy-2025/</t>
        </is>
      </c>
    </row>
    <row r="89" ht="43.2" customHeight="1" s="50">
      <c r="A89" s="41" t="inlineStr">
        <is>
          <t>Latin America</t>
        </is>
      </c>
      <c r="B89" s="41" t="inlineStr">
        <is>
          <t>Colombia</t>
        </is>
      </c>
      <c r="C89" s="41" t="inlineStr">
        <is>
          <t>SBL</t>
        </is>
      </c>
      <c r="D89" s="41" t="inlineStr">
        <is>
          <t>Smart Building &amp; IoT</t>
        </is>
      </c>
      <c r="E89" s="48" t="inlineStr">
        <is>
          <t>Medium</t>
        </is>
      </c>
      <c r="F89" s="41" t="inlineStr">
        <is>
          <t>Smart-building demand is growing, mainly in commercial and premium projects.</t>
        </is>
      </c>
      <c r="G89" s="47" t="inlineStr">
        <is>
          <t>GSMA / World Bank</t>
        </is>
      </c>
      <c r="H89" s="47" t="inlineStr">
        <is>
          <t>https://www.gsma.com/solutions-and-impact/connectivity-for-good/mobile-economy/the-mobile-economy-2025/</t>
        </is>
      </c>
    </row>
    <row r="90" ht="43.2" customHeight="1" s="50">
      <c r="A90" s="41" t="inlineStr">
        <is>
          <t>Latin America</t>
        </is>
      </c>
      <c r="B90" s="41" t="inlineStr">
        <is>
          <t>Colombia</t>
        </is>
      </c>
      <c r="C90" s="41" t="inlineStr">
        <is>
          <t>DCA</t>
        </is>
      </c>
      <c r="D90" s="41" t="inlineStr">
        <is>
          <t>Data Centre &amp; AI Infrastructure</t>
        </is>
      </c>
      <c r="E90" s="48" t="inlineStr">
        <is>
          <t>Medium</t>
        </is>
      </c>
      <c r="F90" s="41" t="inlineStr">
        <is>
          <t>Emerging demand exists through enterprise, colocation or regional hub development.</t>
        </is>
      </c>
      <c r="G90" s="47" t="inlineStr">
        <is>
          <t>GSMA / World Bank</t>
        </is>
      </c>
      <c r="H90" s="47" t="inlineStr">
        <is>
          <t>https://www.gsma.com/solutions-and-impact/connectivity-for-good/mobile-economy/the-mobile-economy-2025/</t>
        </is>
      </c>
    </row>
    <row r="91" ht="43.2" customHeight="1" s="50">
      <c r="A91" s="41" t="inlineStr">
        <is>
          <t>Latin America</t>
        </is>
      </c>
      <c r="B91" s="41" t="inlineStr">
        <is>
          <t>Colombia</t>
        </is>
      </c>
      <c r="C91" s="41" t="inlineStr">
        <is>
          <t>ROB</t>
        </is>
      </c>
      <c r="D91" s="41" t="inlineStr">
        <is>
          <t>Robotics &amp; Intelligent Devices</t>
        </is>
      </c>
      <c r="E91" s="48" t="inlineStr">
        <is>
          <t>Low</t>
        </is>
      </c>
      <c r="F91" s="41" t="inlineStr">
        <is>
          <t>Robotics remains early-stage and not yet a broad purchasing priority.</t>
        </is>
      </c>
      <c r="G91" s="47" t="inlineStr">
        <is>
          <t>GSMA / World Bank</t>
        </is>
      </c>
      <c r="H91" s="47" t="inlineStr">
        <is>
          <t>https://www.gsma.com/solutions-and-impact/connectivity-for-good/mobile-economy/the-mobile-economy-2025/</t>
        </is>
      </c>
    </row>
    <row r="92" ht="43.2" customHeight="1" s="50">
      <c r="A92" s="41" t="inlineStr">
        <is>
          <t>Latin America</t>
        </is>
      </c>
      <c r="B92" s="41" t="inlineStr">
        <is>
          <t>Colombia</t>
        </is>
      </c>
      <c r="C92" s="41" t="inlineStr">
        <is>
          <t>CEV</t>
        </is>
      </c>
      <c r="D92" s="41" t="inlineStr">
        <is>
          <t>Commercial Electronics &amp; Visual Systems</t>
        </is>
      </c>
      <c r="E92" s="48" t="inlineStr">
        <is>
          <t>Medium</t>
        </is>
      </c>
      <c r="F92" s="41" t="inlineStr">
        <is>
          <t>Commercial display and workplace-system demand is growing selectively.</t>
        </is>
      </c>
      <c r="G92" s="47" t="inlineStr">
        <is>
          <t>GSMA / World Bank</t>
        </is>
      </c>
      <c r="H92" s="47" t="inlineStr">
        <is>
          <t>https://www.gsma.com/solutions-and-impact/connectivity-for-good/mobile-economy/the-mobile-economy-2025/</t>
        </is>
      </c>
    </row>
    <row r="93" ht="43.2" customHeight="1" s="50">
      <c r="A93" s="41" t="inlineStr">
        <is>
          <t>Latin America</t>
        </is>
      </c>
      <c r="B93" s="41" t="inlineStr">
        <is>
          <t>Peru</t>
        </is>
      </c>
      <c r="C93" s="41" t="inlineStr">
        <is>
          <t>TEL</t>
        </is>
      </c>
      <c r="D93" s="41" t="inlineStr">
        <is>
          <t>Telecommunications Infrastructure</t>
        </is>
      </c>
      <c r="E93" s="48" t="inlineStr">
        <is>
          <t>Medium</t>
        </is>
      </c>
      <c r="F93" s="41" t="inlineStr">
        <is>
          <t>Selective fiber and access-network expansion supports demand.</t>
        </is>
      </c>
      <c r="G93" s="47" t="inlineStr">
        <is>
          <t>GSMA / World Bank</t>
        </is>
      </c>
      <c r="H93" s="47" t="inlineStr">
        <is>
          <t>https://www.gsma.com/solutions-and-impact/connectivity-for-good/mobile-economy/the-mobile-economy-2025/</t>
        </is>
      </c>
    </row>
    <row r="94" ht="43.2" customHeight="1" s="50">
      <c r="A94" s="41" t="inlineStr">
        <is>
          <t>Latin America</t>
        </is>
      </c>
      <c r="B94" s="41" t="inlineStr">
        <is>
          <t>Peru</t>
        </is>
      </c>
      <c r="C94" s="41" t="inlineStr">
        <is>
          <t>NET</t>
        </is>
      </c>
      <c r="D94" s="41" t="inlineStr">
        <is>
          <t>Networking &amp; Data Systems</t>
        </is>
      </c>
      <c r="E94" s="48" t="inlineStr">
        <is>
          <t>Medium</t>
        </is>
      </c>
      <c r="F94" s="41" t="inlineStr">
        <is>
          <t>Steady network refresh and connectivity expansion support demand.</t>
        </is>
      </c>
      <c r="G94" s="47" t="inlineStr">
        <is>
          <t>GSMA / World Bank</t>
        </is>
      </c>
      <c r="H94" s="47" t="inlineStr">
        <is>
          <t>https://www.gsma.com/solutions-and-impact/connectivity-for-good/mobile-economy/the-mobile-economy-2025/</t>
        </is>
      </c>
    </row>
    <row r="95" ht="43.2" customHeight="1" s="50">
      <c r="A95" s="41" t="inlineStr">
        <is>
          <t>Latin America</t>
        </is>
      </c>
      <c r="B95" s="41" t="inlineStr">
        <is>
          <t>Peru</t>
        </is>
      </c>
      <c r="C95" s="41" t="inlineStr">
        <is>
          <t>SEC</t>
        </is>
      </c>
      <c r="D95" s="41" t="inlineStr">
        <is>
          <t>Security &amp; Surveillance</t>
        </is>
      </c>
      <c r="E95" s="48" t="inlineStr">
        <is>
          <t>High</t>
        </is>
      </c>
      <c r="F95" s="41" t="inlineStr">
        <is>
          <t>Security spending, site protection and public/private monitoring needs are strong.</t>
        </is>
      </c>
      <c r="G95" s="47" t="inlineStr">
        <is>
          <t>GSMA / World Bank</t>
        </is>
      </c>
      <c r="H95" s="47" t="inlineStr">
        <is>
          <t>https://www.gsma.com/solutions-and-impact/connectivity-for-good/mobile-economy/the-mobile-economy-2025/</t>
        </is>
      </c>
    </row>
    <row r="96" ht="43.2" customHeight="1" s="50">
      <c r="A96" s="41" t="inlineStr">
        <is>
          <t>Latin America</t>
        </is>
      </c>
      <c r="B96" s="41" t="inlineStr">
        <is>
          <t>Peru</t>
        </is>
      </c>
      <c r="C96" s="41" t="inlineStr">
        <is>
          <t>SBL</t>
        </is>
      </c>
      <c r="D96" s="41" t="inlineStr">
        <is>
          <t>Smart Building &amp; IoT</t>
        </is>
      </c>
      <c r="E96" s="48" t="inlineStr">
        <is>
          <t>Medium</t>
        </is>
      </c>
      <c r="F96" s="41" t="inlineStr">
        <is>
          <t>Smart-building demand is growing, mainly in commercial and premium projects.</t>
        </is>
      </c>
      <c r="G96" s="47" t="inlineStr">
        <is>
          <t>GSMA / World Bank</t>
        </is>
      </c>
      <c r="H96" s="47" t="inlineStr">
        <is>
          <t>https://www.gsma.com/solutions-and-impact/connectivity-for-good/mobile-economy/the-mobile-economy-2025/</t>
        </is>
      </c>
    </row>
    <row r="97" ht="43.2" customHeight="1" s="50">
      <c r="A97" s="41" t="inlineStr">
        <is>
          <t>Latin America</t>
        </is>
      </c>
      <c r="B97" s="41" t="inlineStr">
        <is>
          <t>Peru</t>
        </is>
      </c>
      <c r="C97" s="41" t="inlineStr">
        <is>
          <t>DCA</t>
        </is>
      </c>
      <c r="D97" s="41" t="inlineStr">
        <is>
          <t>Data Centre &amp; AI Infrastructure</t>
        </is>
      </c>
      <c r="E97" s="48" t="inlineStr">
        <is>
          <t>Medium</t>
        </is>
      </c>
      <c r="F97" s="41" t="inlineStr">
        <is>
          <t>Emerging demand exists through enterprise, colocation or regional hub development.</t>
        </is>
      </c>
      <c r="G97" s="47" t="inlineStr">
        <is>
          <t>GSMA / World Bank</t>
        </is>
      </c>
      <c r="H97" s="47" t="inlineStr">
        <is>
          <t>https://www.gsma.com/solutions-and-impact/connectivity-for-good/mobile-economy/the-mobile-economy-2025/</t>
        </is>
      </c>
    </row>
    <row r="98" ht="43.2" customHeight="1" s="50">
      <c r="A98" s="41" t="inlineStr">
        <is>
          <t>Latin America</t>
        </is>
      </c>
      <c r="B98" s="41" t="inlineStr">
        <is>
          <t>Peru</t>
        </is>
      </c>
      <c r="C98" s="41" t="inlineStr">
        <is>
          <t>ROB</t>
        </is>
      </c>
      <c r="D98" s="41" t="inlineStr">
        <is>
          <t>Robotics &amp; Intelligent Devices</t>
        </is>
      </c>
      <c r="E98" s="48" t="inlineStr">
        <is>
          <t>Low</t>
        </is>
      </c>
      <c r="F98" s="41" t="inlineStr">
        <is>
          <t>Robotics remains early-stage and not yet a broad purchasing priority.</t>
        </is>
      </c>
      <c r="G98" s="47" t="inlineStr">
        <is>
          <t>GSMA / World Bank</t>
        </is>
      </c>
      <c r="H98" s="47" t="inlineStr">
        <is>
          <t>https://www.gsma.com/solutions-and-impact/connectivity-for-good/mobile-economy/the-mobile-economy-2025/</t>
        </is>
      </c>
    </row>
    <row r="99" ht="43.2" customHeight="1" s="50">
      <c r="A99" s="41" t="inlineStr">
        <is>
          <t>Latin America</t>
        </is>
      </c>
      <c r="B99" s="41" t="inlineStr">
        <is>
          <t>Peru</t>
        </is>
      </c>
      <c r="C99" s="41" t="inlineStr">
        <is>
          <t>CEV</t>
        </is>
      </c>
      <c r="D99" s="41" t="inlineStr">
        <is>
          <t>Commercial Electronics &amp; Visual Systems</t>
        </is>
      </c>
      <c r="E99" s="48" t="inlineStr">
        <is>
          <t>Medium</t>
        </is>
      </c>
      <c r="F99" s="41" t="inlineStr">
        <is>
          <t>Commercial display and workplace-system demand is growing selectively.</t>
        </is>
      </c>
      <c r="G99" s="47" t="inlineStr">
        <is>
          <t>GSMA / World Bank</t>
        </is>
      </c>
      <c r="H99" s="47" t="inlineStr">
        <is>
          <t>https://www.gsma.com/solutions-and-impact/connectivity-for-good/mobile-economy/the-mobile-economy-2025/</t>
        </is>
      </c>
    </row>
    <row r="100" ht="43.2" customHeight="1" s="50">
      <c r="A100" s="41" t="inlineStr">
        <is>
          <t>Latin America</t>
        </is>
      </c>
      <c r="B100" s="41" t="inlineStr">
        <is>
          <t>Dominican Republic</t>
        </is>
      </c>
      <c r="C100" s="41" t="inlineStr">
        <is>
          <t>TEL</t>
        </is>
      </c>
      <c r="D100" s="41" t="inlineStr">
        <is>
          <t>Telecommunications Infrastructure</t>
        </is>
      </c>
      <c r="E100" s="48" t="inlineStr">
        <is>
          <t>Low</t>
        </is>
      </c>
      <c r="F100" s="41" t="inlineStr">
        <is>
          <t>Need exists, but market scale or execution conditions limit demand.</t>
        </is>
      </c>
      <c r="G100" s="47" t="inlineStr">
        <is>
          <t>GSMA / World Bank</t>
        </is>
      </c>
      <c r="H100" s="47" t="inlineStr">
        <is>
          <t>https://www.gsma.com/solutions-and-impact/connectivity-for-good/mobile-economy/the-mobile-economy-2025/</t>
        </is>
      </c>
    </row>
    <row r="101" ht="43.2" customHeight="1" s="50">
      <c r="A101" s="41" t="inlineStr">
        <is>
          <t>Latin America</t>
        </is>
      </c>
      <c r="B101" s="41" t="inlineStr">
        <is>
          <t>Dominican Republic</t>
        </is>
      </c>
      <c r="C101" s="41" t="inlineStr">
        <is>
          <t>NET</t>
        </is>
      </c>
      <c r="D101" s="41" t="inlineStr">
        <is>
          <t>Networking &amp; Data Systems</t>
        </is>
      </c>
      <c r="E101" s="48" t="inlineStr">
        <is>
          <t>Low</t>
        </is>
      </c>
      <c r="F101" s="41" t="inlineStr">
        <is>
          <t>Networking demand exists, but budgets and project depth stay limited.</t>
        </is>
      </c>
      <c r="G101" s="47" t="inlineStr">
        <is>
          <t>GSMA / World Bank</t>
        </is>
      </c>
      <c r="H101" s="47" t="inlineStr">
        <is>
          <t>https://www.gsma.com/solutions-and-impact/connectivity-for-good/mobile-economy/the-mobile-economy-2025/</t>
        </is>
      </c>
    </row>
    <row r="102" ht="43.2" customHeight="1" s="50">
      <c r="A102" s="41" t="inlineStr">
        <is>
          <t>Latin America</t>
        </is>
      </c>
      <c r="B102" s="41" t="inlineStr">
        <is>
          <t>Dominican Republic</t>
        </is>
      </c>
      <c r="C102" s="41" t="inlineStr">
        <is>
          <t>SEC</t>
        </is>
      </c>
      <c r="D102" s="41" t="inlineStr">
        <is>
          <t>Security &amp; Surveillance</t>
        </is>
      </c>
      <c r="E102" s="48" t="inlineStr">
        <is>
          <t>Medium</t>
        </is>
      </c>
      <c r="F102" s="41" t="inlineStr">
        <is>
          <t>Security demand is present across buildings and infrastructure, but project scale is uneven.</t>
        </is>
      </c>
      <c r="G102" s="47" t="inlineStr">
        <is>
          <t>GSMA / World Bank</t>
        </is>
      </c>
      <c r="H102" s="47" t="inlineStr">
        <is>
          <t>https://www.gsma.com/solutions-and-impact/connectivity-for-good/mobile-economy/the-mobile-economy-2025/</t>
        </is>
      </c>
    </row>
    <row r="103" ht="43.2" customHeight="1" s="50">
      <c r="A103" s="41" t="inlineStr">
        <is>
          <t>Latin America</t>
        </is>
      </c>
      <c r="B103" s="41" t="inlineStr">
        <is>
          <t>Dominican Republic</t>
        </is>
      </c>
      <c r="C103" s="41" t="inlineStr">
        <is>
          <t>SBL</t>
        </is>
      </c>
      <c r="D103" s="41" t="inlineStr">
        <is>
          <t>Smart Building &amp; IoT</t>
        </is>
      </c>
      <c r="E103" s="48" t="inlineStr">
        <is>
          <t>Medium</t>
        </is>
      </c>
      <c r="F103" s="41" t="inlineStr">
        <is>
          <t>Smart-building demand is growing, mainly in commercial and premium projects.</t>
        </is>
      </c>
      <c r="G103" s="47" t="inlineStr">
        <is>
          <t>GSMA / World Bank</t>
        </is>
      </c>
      <c r="H103" s="47" t="inlineStr">
        <is>
          <t>https://www.gsma.com/solutions-and-impact/connectivity-for-good/mobile-economy/the-mobile-economy-2025/</t>
        </is>
      </c>
    </row>
    <row r="104" ht="43.2" customHeight="1" s="50">
      <c r="A104" s="41" t="inlineStr">
        <is>
          <t>Latin America</t>
        </is>
      </c>
      <c r="B104" s="41" t="inlineStr">
        <is>
          <t>Dominican Republic</t>
        </is>
      </c>
      <c r="C104" s="41" t="inlineStr">
        <is>
          <t>DCA</t>
        </is>
      </c>
      <c r="D104" s="41" t="inlineStr">
        <is>
          <t>Data Centre &amp; AI Infrastructure</t>
        </is>
      </c>
      <c r="E104" s="48" t="inlineStr">
        <is>
          <t>Medium</t>
        </is>
      </c>
      <c r="F104" s="41" t="inlineStr">
        <is>
          <t>Emerging demand exists through enterprise, colocation or regional hub development.</t>
        </is>
      </c>
      <c r="G104" s="47" t="inlineStr">
        <is>
          <t>GSMA / World Bank</t>
        </is>
      </c>
      <c r="H104" s="47" t="inlineStr">
        <is>
          <t>https://www.gsma.com/solutions-and-impact/connectivity-for-good/mobile-economy/the-mobile-economy-2025/</t>
        </is>
      </c>
    </row>
    <row r="105" ht="43.2" customHeight="1" s="50">
      <c r="A105" s="41" t="inlineStr">
        <is>
          <t>Latin America</t>
        </is>
      </c>
      <c r="B105" s="41" t="inlineStr">
        <is>
          <t>Dominican Republic</t>
        </is>
      </c>
      <c r="C105" s="41" t="inlineStr">
        <is>
          <t>ROB</t>
        </is>
      </c>
      <c r="D105" s="41" t="inlineStr">
        <is>
          <t>Robotics &amp; Intelligent Devices</t>
        </is>
      </c>
      <c r="E105" s="48" t="inlineStr">
        <is>
          <t>Low</t>
        </is>
      </c>
      <c r="F105" s="41" t="inlineStr">
        <is>
          <t>Robotics remains early-stage and not yet a broad purchasing priority.</t>
        </is>
      </c>
      <c r="G105" s="47" t="inlineStr">
        <is>
          <t>GSMA / World Bank</t>
        </is>
      </c>
      <c r="H105" s="47" t="inlineStr">
        <is>
          <t>https://www.gsma.com/solutions-and-impact/connectivity-for-good/mobile-economy/the-mobile-economy-2025/</t>
        </is>
      </c>
    </row>
    <row r="106" ht="43.2" customHeight="1" s="50">
      <c r="A106" s="41" t="inlineStr">
        <is>
          <t>Latin America</t>
        </is>
      </c>
      <c r="B106" s="41" t="inlineStr">
        <is>
          <t>Dominican Republic</t>
        </is>
      </c>
      <c r="C106" s="41" t="inlineStr">
        <is>
          <t>CEV</t>
        </is>
      </c>
      <c r="D106" s="41" t="inlineStr">
        <is>
          <t>Commercial Electronics &amp; Visual Systems</t>
        </is>
      </c>
      <c r="E106" s="48" t="inlineStr">
        <is>
          <t>Medium</t>
        </is>
      </c>
      <c r="F106" s="41" t="inlineStr">
        <is>
          <t>Commercial display and workplace-system demand is growing selectively.</t>
        </is>
      </c>
      <c r="G106" s="47" t="inlineStr">
        <is>
          <t>GSMA / World Bank</t>
        </is>
      </c>
      <c r="H106" s="47" t="inlineStr">
        <is>
          <t>https://www.gsma.com/solutions-and-impact/connectivity-for-good/mobile-economy/the-mobile-economy-2025/</t>
        </is>
      </c>
    </row>
    <row r="107" ht="43.2" customHeight="1" s="50">
      <c r="A107" s="41" t="inlineStr">
        <is>
          <t>Southeast Asia</t>
        </is>
      </c>
      <c r="B107" s="41" t="inlineStr">
        <is>
          <t>Indonesia</t>
        </is>
      </c>
      <c r="C107" s="41" t="inlineStr">
        <is>
          <t>TEL</t>
        </is>
      </c>
      <c r="D107" s="41" t="inlineStr">
        <is>
          <t>Telecommunications Infrastructure</t>
        </is>
      </c>
      <c r="E107" s="48" t="inlineStr">
        <is>
          <t>High</t>
        </is>
      </c>
      <c r="F107" s="41" t="inlineStr">
        <is>
          <t>Strong broadband / mobile infrastructure need and upgrade cycle.</t>
        </is>
      </c>
      <c r="G107" s="47" t="inlineStr">
        <is>
          <t>GSMA / ITU</t>
        </is>
      </c>
      <c r="H107" s="47" t="inlineStr">
        <is>
          <t>https://www.gsma.com/solutions-and-impact/connectivity-for-good/mobile-economy/the-mobile-economy-2026/</t>
        </is>
      </c>
    </row>
    <row r="108" ht="43.2" customHeight="1" s="50">
      <c r="A108" s="41" t="inlineStr">
        <is>
          <t>Southeast Asia</t>
        </is>
      </c>
      <c r="B108" s="41" t="inlineStr">
        <is>
          <t>Indonesia</t>
        </is>
      </c>
      <c r="C108" s="41" t="inlineStr">
        <is>
          <t>NET</t>
        </is>
      </c>
      <c r="D108" s="41" t="inlineStr">
        <is>
          <t>Networking &amp; Data Systems</t>
        </is>
      </c>
      <c r="E108" s="48" t="inlineStr">
        <is>
          <t>High</t>
        </is>
      </c>
      <c r="F108" s="41" t="inlineStr">
        <is>
          <t>Enterprise digitization and traffic growth support switching, routing and LAN demand.</t>
        </is>
      </c>
      <c r="G108" s="47" t="inlineStr">
        <is>
          <t>GSMA / ITU</t>
        </is>
      </c>
      <c r="H108" s="47" t="inlineStr">
        <is>
          <t>https://www.gsma.com/solutions-and-impact/connectivity-for-good/mobile-economy/the-mobile-economy-2026/</t>
        </is>
      </c>
    </row>
    <row r="109" ht="43.2" customHeight="1" s="50">
      <c r="A109" s="41" t="inlineStr">
        <is>
          <t>Southeast Asia</t>
        </is>
      </c>
      <c r="B109" s="41" t="inlineStr">
        <is>
          <t>Indonesia</t>
        </is>
      </c>
      <c r="C109" s="41" t="inlineStr">
        <is>
          <t>SEC</t>
        </is>
      </c>
      <c r="D109" s="41" t="inlineStr">
        <is>
          <t>Security &amp; Surveillance</t>
        </is>
      </c>
      <c r="E109" s="48" t="inlineStr">
        <is>
          <t>High</t>
        </is>
      </c>
      <c r="F109" s="41" t="inlineStr">
        <is>
          <t>Security spending, site protection and public/private monitoring needs are strong.</t>
        </is>
      </c>
      <c r="G109" s="47" t="inlineStr">
        <is>
          <t>GSMA / ITU</t>
        </is>
      </c>
      <c r="H109" s="47" t="inlineStr">
        <is>
          <t>https://www.gsma.com/solutions-and-impact/connectivity-for-good/mobile-economy/the-mobile-economy-2026/</t>
        </is>
      </c>
    </row>
    <row r="110" ht="43.2" customHeight="1" s="50">
      <c r="A110" s="41" t="inlineStr">
        <is>
          <t>Southeast Asia</t>
        </is>
      </c>
      <c r="B110" s="41" t="inlineStr">
        <is>
          <t>Indonesia</t>
        </is>
      </c>
      <c r="C110" s="41" t="inlineStr">
        <is>
          <t>SBL</t>
        </is>
      </c>
      <c r="D110" s="41" t="inlineStr">
        <is>
          <t>Smart Building &amp; IoT</t>
        </is>
      </c>
      <c r="E110" s="48" t="inlineStr">
        <is>
          <t>Medium</t>
        </is>
      </c>
      <c r="F110" s="41" t="inlineStr">
        <is>
          <t>Smart-building demand is growing, mainly in commercial and premium projects.</t>
        </is>
      </c>
      <c r="G110" s="47" t="inlineStr">
        <is>
          <t>GSMA / ITU</t>
        </is>
      </c>
      <c r="H110" s="47" t="inlineStr">
        <is>
          <t>https://www.gsma.com/solutions-and-impact/connectivity-for-good/mobile-economy/the-mobile-economy-2026/</t>
        </is>
      </c>
    </row>
    <row r="111" ht="43.2" customHeight="1" s="50">
      <c r="A111" s="41" t="inlineStr">
        <is>
          <t>Southeast Asia</t>
        </is>
      </c>
      <c r="B111" s="41" t="inlineStr">
        <is>
          <t>Indonesia</t>
        </is>
      </c>
      <c r="C111" s="41" t="inlineStr">
        <is>
          <t>DCA</t>
        </is>
      </c>
      <c r="D111" s="41" t="inlineStr">
        <is>
          <t>Data Centre &amp; AI Infrastructure</t>
        </is>
      </c>
      <c r="E111" s="48" t="inlineStr">
        <is>
          <t>Medium</t>
        </is>
      </c>
      <c r="F111" s="41" t="inlineStr">
        <is>
          <t>Emerging demand exists through enterprise, colocation or regional hub development.</t>
        </is>
      </c>
      <c r="G111" s="47" t="inlineStr">
        <is>
          <t>GSMA / ITU</t>
        </is>
      </c>
      <c r="H111" s="47" t="inlineStr">
        <is>
          <t>https://www.gsma.com/solutions-and-impact/connectivity-for-good/mobile-economy/the-mobile-economy-2026/</t>
        </is>
      </c>
    </row>
    <row r="112" ht="43.2" customHeight="1" s="50">
      <c r="A112" s="41" t="inlineStr">
        <is>
          <t>Southeast Asia</t>
        </is>
      </c>
      <c r="B112" s="41" t="inlineStr">
        <is>
          <t>Indonesia</t>
        </is>
      </c>
      <c r="C112" s="41" t="inlineStr">
        <is>
          <t>ROB</t>
        </is>
      </c>
      <c r="D112" s="41" t="inlineStr">
        <is>
          <t>Robotics &amp; Intelligent Devices</t>
        </is>
      </c>
      <c r="E112" s="48" t="inlineStr">
        <is>
          <t>Medium</t>
        </is>
      </c>
      <c r="F112" s="41" t="inlineStr">
        <is>
          <t>Robotics interest is growing, but adoption is still use-case specific.</t>
        </is>
      </c>
      <c r="G112" s="47" t="inlineStr">
        <is>
          <t>GSMA / ITU</t>
        </is>
      </c>
      <c r="H112" s="47" t="inlineStr">
        <is>
          <t>https://www.gsma.com/solutions-and-impact/connectivity-for-good/mobile-economy/the-mobile-economy-2026/</t>
        </is>
      </c>
    </row>
    <row r="113" ht="43.2" customHeight="1" s="50">
      <c r="A113" s="41" t="inlineStr">
        <is>
          <t>Southeast Asia</t>
        </is>
      </c>
      <c r="B113" s="41" t="inlineStr">
        <is>
          <t>Indonesia</t>
        </is>
      </c>
      <c r="C113" s="41" t="inlineStr">
        <is>
          <t>CEV</t>
        </is>
      </c>
      <c r="D113" s="41" t="inlineStr">
        <is>
          <t>Commercial Electronics &amp; Visual Systems</t>
        </is>
      </c>
      <c r="E113" s="48" t="inlineStr">
        <is>
          <t>Medium</t>
        </is>
      </c>
      <c r="F113" s="41" t="inlineStr">
        <is>
          <t>Commercial display and workplace-system demand is growing selectively.</t>
        </is>
      </c>
      <c r="G113" s="47" t="inlineStr">
        <is>
          <t>GSMA / ITU</t>
        </is>
      </c>
      <c r="H113" s="47" t="inlineStr">
        <is>
          <t>https://www.gsma.com/solutions-and-impact/connectivity-for-good/mobile-economy/the-mobile-economy-2026/</t>
        </is>
      </c>
    </row>
    <row r="114" ht="43.2" customHeight="1" s="50">
      <c r="A114" s="41" t="inlineStr">
        <is>
          <t>Southeast Asia</t>
        </is>
      </c>
      <c r="B114" s="41" t="inlineStr">
        <is>
          <t>Vietnam</t>
        </is>
      </c>
      <c r="C114" s="41" t="inlineStr">
        <is>
          <t>TEL</t>
        </is>
      </c>
      <c r="D114" s="41" t="inlineStr">
        <is>
          <t>Telecommunications Infrastructure</t>
        </is>
      </c>
      <c r="E114" s="48" t="inlineStr">
        <is>
          <t>High</t>
        </is>
      </c>
      <c r="F114" s="41" t="inlineStr">
        <is>
          <t>Strong broadband / mobile infrastructure need and upgrade cycle.</t>
        </is>
      </c>
      <c r="G114" s="47" t="inlineStr">
        <is>
          <t>GSMA / ITU</t>
        </is>
      </c>
      <c r="H114" s="47" t="inlineStr">
        <is>
          <t>https://www.gsma.com/solutions-and-impact/connectivity-for-good/mobile-economy/the-mobile-economy-2026/</t>
        </is>
      </c>
    </row>
    <row r="115" ht="43.2" customHeight="1" s="50">
      <c r="A115" s="41" t="inlineStr">
        <is>
          <t>Southeast Asia</t>
        </is>
      </c>
      <c r="B115" s="41" t="inlineStr">
        <is>
          <t>Vietnam</t>
        </is>
      </c>
      <c r="C115" s="41" t="inlineStr">
        <is>
          <t>NET</t>
        </is>
      </c>
      <c r="D115" s="41" t="inlineStr">
        <is>
          <t>Networking &amp; Data Systems</t>
        </is>
      </c>
      <c r="E115" s="48" t="inlineStr">
        <is>
          <t>High</t>
        </is>
      </c>
      <c r="F115" s="41" t="inlineStr">
        <is>
          <t>Enterprise digitization and traffic growth support switching, routing and LAN demand.</t>
        </is>
      </c>
      <c r="G115" s="47" t="inlineStr">
        <is>
          <t>GSMA / ITU</t>
        </is>
      </c>
      <c r="H115" s="47" t="inlineStr">
        <is>
          <t>https://www.gsma.com/solutions-and-impact/connectivity-for-good/mobile-economy/the-mobile-economy-2026/</t>
        </is>
      </c>
    </row>
    <row r="116" ht="43.2" customHeight="1" s="50">
      <c r="A116" s="41" t="inlineStr">
        <is>
          <t>Southeast Asia</t>
        </is>
      </c>
      <c r="B116" s="41" t="inlineStr">
        <is>
          <t>Vietnam</t>
        </is>
      </c>
      <c r="C116" s="41" t="inlineStr">
        <is>
          <t>SEC</t>
        </is>
      </c>
      <c r="D116" s="41" t="inlineStr">
        <is>
          <t>Security &amp; Surveillance</t>
        </is>
      </c>
      <c r="E116" s="48" t="inlineStr">
        <is>
          <t>High</t>
        </is>
      </c>
      <c r="F116" s="41" t="inlineStr">
        <is>
          <t>Security spending, site protection and public/private monitoring needs are strong.</t>
        </is>
      </c>
      <c r="G116" s="47" t="inlineStr">
        <is>
          <t>GSMA / ITU</t>
        </is>
      </c>
      <c r="H116" s="47" t="inlineStr">
        <is>
          <t>https://www.gsma.com/solutions-and-impact/connectivity-for-good/mobile-economy/the-mobile-economy-2026/</t>
        </is>
      </c>
    </row>
    <row r="117" ht="43.2" customHeight="1" s="50">
      <c r="A117" s="41" t="inlineStr">
        <is>
          <t>Southeast Asia</t>
        </is>
      </c>
      <c r="B117" s="41" t="inlineStr">
        <is>
          <t>Vietnam</t>
        </is>
      </c>
      <c r="C117" s="41" t="inlineStr">
        <is>
          <t>SBL</t>
        </is>
      </c>
      <c r="D117" s="41" t="inlineStr">
        <is>
          <t>Smart Building &amp; IoT</t>
        </is>
      </c>
      <c r="E117" s="48" t="inlineStr">
        <is>
          <t>Medium</t>
        </is>
      </c>
      <c r="F117" s="41" t="inlineStr">
        <is>
          <t>Smart-building demand is growing, mainly in commercial and premium projects.</t>
        </is>
      </c>
      <c r="G117" s="47" t="inlineStr">
        <is>
          <t>GSMA / ITU</t>
        </is>
      </c>
      <c r="H117" s="47" t="inlineStr">
        <is>
          <t>https://www.gsma.com/solutions-and-impact/connectivity-for-good/mobile-economy/the-mobile-economy-2026/</t>
        </is>
      </c>
    </row>
    <row r="118" ht="43.2" customHeight="1" s="50">
      <c r="A118" s="41" t="inlineStr">
        <is>
          <t>Southeast Asia</t>
        </is>
      </c>
      <c r="B118" s="41" t="inlineStr">
        <is>
          <t>Vietnam</t>
        </is>
      </c>
      <c r="C118" s="41" t="inlineStr">
        <is>
          <t>DCA</t>
        </is>
      </c>
      <c r="D118" s="41" t="inlineStr">
        <is>
          <t>Data Centre &amp; AI Infrastructure</t>
        </is>
      </c>
      <c r="E118" s="48" t="inlineStr">
        <is>
          <t>Medium</t>
        </is>
      </c>
      <c r="F118" s="41" t="inlineStr">
        <is>
          <t>Emerging demand exists through enterprise, colocation or regional hub development.</t>
        </is>
      </c>
      <c r="G118" s="47" t="inlineStr">
        <is>
          <t>GSMA / ITU</t>
        </is>
      </c>
      <c r="H118" s="47" t="inlineStr">
        <is>
          <t>https://www.gsma.com/solutions-and-impact/connectivity-for-good/mobile-economy/the-mobile-economy-2026/</t>
        </is>
      </c>
    </row>
    <row r="119" ht="43.2" customHeight="1" s="50">
      <c r="A119" s="41" t="inlineStr">
        <is>
          <t>Southeast Asia</t>
        </is>
      </c>
      <c r="B119" s="41" t="inlineStr">
        <is>
          <t>Vietnam</t>
        </is>
      </c>
      <c r="C119" s="41" t="inlineStr">
        <is>
          <t>ROB</t>
        </is>
      </c>
      <c r="D119" s="41" t="inlineStr">
        <is>
          <t>Robotics &amp; Intelligent Devices</t>
        </is>
      </c>
      <c r="E119" s="48" t="inlineStr">
        <is>
          <t>Medium</t>
        </is>
      </c>
      <c r="F119" s="41" t="inlineStr">
        <is>
          <t>Robotics interest is growing, but adoption is still use-case specific.</t>
        </is>
      </c>
      <c r="G119" s="47" t="inlineStr">
        <is>
          <t>GSMA / ITU</t>
        </is>
      </c>
      <c r="H119" s="47" t="inlineStr">
        <is>
          <t>https://www.gsma.com/solutions-and-impact/connectivity-for-good/mobile-economy/the-mobile-economy-2026/</t>
        </is>
      </c>
    </row>
    <row r="120" ht="43.2" customHeight="1" s="50">
      <c r="A120" s="41" t="inlineStr">
        <is>
          <t>Southeast Asia</t>
        </is>
      </c>
      <c r="B120" s="41" t="inlineStr">
        <is>
          <t>Vietnam</t>
        </is>
      </c>
      <c r="C120" s="41" t="inlineStr">
        <is>
          <t>CEV</t>
        </is>
      </c>
      <c r="D120" s="41" t="inlineStr">
        <is>
          <t>Commercial Electronics &amp; Visual Systems</t>
        </is>
      </c>
      <c r="E120" s="48" t="inlineStr">
        <is>
          <t>Medium</t>
        </is>
      </c>
      <c r="F120" s="41" t="inlineStr">
        <is>
          <t>Commercial display and workplace-system demand is growing selectively.</t>
        </is>
      </c>
      <c r="G120" s="47" t="inlineStr">
        <is>
          <t>GSMA / ITU</t>
        </is>
      </c>
      <c r="H120" s="47" t="inlineStr">
        <is>
          <t>https://www.gsma.com/solutions-and-impact/connectivity-for-good/mobile-economy/the-mobile-economy-2026/</t>
        </is>
      </c>
    </row>
    <row r="121" ht="43.2" customHeight="1" s="50">
      <c r="A121" s="41" t="inlineStr">
        <is>
          <t>Southeast Asia</t>
        </is>
      </c>
      <c r="B121" s="41" t="inlineStr">
        <is>
          <t>Malaysia</t>
        </is>
      </c>
      <c r="C121" s="41" t="inlineStr">
        <is>
          <t>TEL</t>
        </is>
      </c>
      <c r="D121" s="41" t="inlineStr">
        <is>
          <t>Telecommunications Infrastructure</t>
        </is>
      </c>
      <c r="E121" s="48" t="inlineStr">
        <is>
          <t>High</t>
        </is>
      </c>
      <c r="F121" s="41" t="inlineStr">
        <is>
          <t>Strong broadband / mobile infrastructure need and upgrade cycle.</t>
        </is>
      </c>
      <c r="G121" s="47" t="inlineStr">
        <is>
          <t>GSMA / ITU</t>
        </is>
      </c>
      <c r="H121" s="47" t="inlineStr">
        <is>
          <t>https://www.gsma.com/solutions-and-impact/connectivity-for-good/mobile-economy/the-mobile-economy-2026/</t>
        </is>
      </c>
    </row>
    <row r="122" ht="43.2" customHeight="1" s="50">
      <c r="A122" s="41" t="inlineStr">
        <is>
          <t>Southeast Asia</t>
        </is>
      </c>
      <c r="B122" s="41" t="inlineStr">
        <is>
          <t>Malaysia</t>
        </is>
      </c>
      <c r="C122" s="41" t="inlineStr">
        <is>
          <t>NET</t>
        </is>
      </c>
      <c r="D122" s="41" t="inlineStr">
        <is>
          <t>Networking &amp; Data Systems</t>
        </is>
      </c>
      <c r="E122" s="48" t="inlineStr">
        <is>
          <t>High</t>
        </is>
      </c>
      <c r="F122" s="41" t="inlineStr">
        <is>
          <t>Enterprise digitization and traffic growth support switching, routing and LAN demand.</t>
        </is>
      </c>
      <c r="G122" s="47" t="inlineStr">
        <is>
          <t>GSMA / ITU</t>
        </is>
      </c>
      <c r="H122" s="47" t="inlineStr">
        <is>
          <t>https://www.gsma.com/solutions-and-impact/connectivity-for-good/mobile-economy/the-mobile-economy-2026/</t>
        </is>
      </c>
    </row>
    <row r="123" ht="43.2" customHeight="1" s="50">
      <c r="A123" s="41" t="inlineStr">
        <is>
          <t>Southeast Asia</t>
        </is>
      </c>
      <c r="B123" s="41" t="inlineStr">
        <is>
          <t>Malaysia</t>
        </is>
      </c>
      <c r="C123" s="41" t="inlineStr">
        <is>
          <t>SEC</t>
        </is>
      </c>
      <c r="D123" s="41" t="inlineStr">
        <is>
          <t>Security &amp; Surveillance</t>
        </is>
      </c>
      <c r="E123" s="48" t="inlineStr">
        <is>
          <t>Medium</t>
        </is>
      </c>
      <c r="F123" s="41" t="inlineStr">
        <is>
          <t>Security demand is present across buildings and infrastructure, but project scale is uneven.</t>
        </is>
      </c>
      <c r="G123" s="47" t="inlineStr">
        <is>
          <t>GSMA / ITU</t>
        </is>
      </c>
      <c r="H123" s="47" t="inlineStr">
        <is>
          <t>https://www.gsma.com/solutions-and-impact/connectivity-for-good/mobile-economy/the-mobile-economy-2026/</t>
        </is>
      </c>
    </row>
    <row r="124" ht="43.2" customHeight="1" s="50">
      <c r="A124" s="41" t="inlineStr">
        <is>
          <t>Southeast Asia</t>
        </is>
      </c>
      <c r="B124" s="41" t="inlineStr">
        <is>
          <t>Malaysia</t>
        </is>
      </c>
      <c r="C124" s="41" t="inlineStr">
        <is>
          <t>SBL</t>
        </is>
      </c>
      <c r="D124" s="41" t="inlineStr">
        <is>
          <t>Smart Building &amp; IoT</t>
        </is>
      </c>
      <c r="E124" s="48" t="inlineStr">
        <is>
          <t>Medium</t>
        </is>
      </c>
      <c r="F124" s="41" t="inlineStr">
        <is>
          <t>Smart-building demand is growing, mainly in commercial and premium projects.</t>
        </is>
      </c>
      <c r="G124" s="47" t="inlineStr">
        <is>
          <t>GSMA / ITU</t>
        </is>
      </c>
      <c r="H124" s="47" t="inlineStr">
        <is>
          <t>https://www.gsma.com/solutions-and-impact/connectivity-for-good/mobile-economy/the-mobile-economy-2026/</t>
        </is>
      </c>
    </row>
    <row r="125" ht="43.2" customHeight="1" s="50">
      <c r="A125" s="41" t="inlineStr">
        <is>
          <t>Southeast Asia</t>
        </is>
      </c>
      <c r="B125" s="41" t="inlineStr">
        <is>
          <t>Malaysia</t>
        </is>
      </c>
      <c r="C125" s="41" t="inlineStr">
        <is>
          <t>DCA</t>
        </is>
      </c>
      <c r="D125" s="41" t="inlineStr">
        <is>
          <t>Data Centre &amp; AI Infrastructure</t>
        </is>
      </c>
      <c r="E125" s="48" t="inlineStr">
        <is>
          <t>Medium</t>
        </is>
      </c>
      <c r="F125" s="41" t="inlineStr">
        <is>
          <t>Emerging demand exists through enterprise, colocation or regional hub development.</t>
        </is>
      </c>
      <c r="G125" s="47" t="inlineStr">
        <is>
          <t>GSMA / ITU</t>
        </is>
      </c>
      <c r="H125" s="47" t="inlineStr">
        <is>
          <t>https://www.gsma.com/solutions-and-impact/connectivity-for-good/mobile-economy/the-mobile-economy-2026/</t>
        </is>
      </c>
    </row>
    <row r="126" ht="43.2" customHeight="1" s="50">
      <c r="A126" s="41" t="inlineStr">
        <is>
          <t>Southeast Asia</t>
        </is>
      </c>
      <c r="B126" s="41" t="inlineStr">
        <is>
          <t>Malaysia</t>
        </is>
      </c>
      <c r="C126" s="41" t="inlineStr">
        <is>
          <t>ROB</t>
        </is>
      </c>
      <c r="D126" s="41" t="inlineStr">
        <is>
          <t>Robotics &amp; Intelligent Devices</t>
        </is>
      </c>
      <c r="E126" s="48" t="inlineStr">
        <is>
          <t>Medium</t>
        </is>
      </c>
      <c r="F126" s="41" t="inlineStr">
        <is>
          <t>Robotics interest is growing, but adoption is still use-case specific.</t>
        </is>
      </c>
      <c r="G126" s="47" t="inlineStr">
        <is>
          <t>GSMA / ITU</t>
        </is>
      </c>
      <c r="H126" s="47" t="inlineStr">
        <is>
          <t>https://www.gsma.com/solutions-and-impact/connectivity-for-good/mobile-economy/the-mobile-economy-2026/</t>
        </is>
      </c>
    </row>
    <row r="127" ht="43.2" customHeight="1" s="50">
      <c r="A127" s="41" t="inlineStr">
        <is>
          <t>Southeast Asia</t>
        </is>
      </c>
      <c r="B127" s="41" t="inlineStr">
        <is>
          <t>Malaysia</t>
        </is>
      </c>
      <c r="C127" s="41" t="inlineStr">
        <is>
          <t>CEV</t>
        </is>
      </c>
      <c r="D127" s="41" t="inlineStr">
        <is>
          <t>Commercial Electronics &amp; Visual Systems</t>
        </is>
      </c>
      <c r="E127" s="48" t="inlineStr">
        <is>
          <t>Medium</t>
        </is>
      </c>
      <c r="F127" s="41" t="inlineStr">
        <is>
          <t>Commercial display and workplace-system demand is growing selectively.</t>
        </is>
      </c>
      <c r="G127" s="47" t="inlineStr">
        <is>
          <t>GSMA / ITU</t>
        </is>
      </c>
      <c r="H127" s="47" t="inlineStr">
        <is>
          <t>https://www.gsma.com/solutions-and-impact/connectivity-for-good/mobile-economy/the-mobile-economy-2026/</t>
        </is>
      </c>
    </row>
    <row r="128" ht="43.2" customHeight="1" s="50">
      <c r="A128" s="41" t="inlineStr">
        <is>
          <t>Southeast Asia</t>
        </is>
      </c>
      <c r="B128" s="41" t="inlineStr">
        <is>
          <t>Thailand</t>
        </is>
      </c>
      <c r="C128" s="41" t="inlineStr">
        <is>
          <t>TEL</t>
        </is>
      </c>
      <c r="D128" s="41" t="inlineStr">
        <is>
          <t>Telecommunications Infrastructure</t>
        </is>
      </c>
      <c r="E128" s="48" t="inlineStr">
        <is>
          <t>High</t>
        </is>
      </c>
      <c r="F128" s="41" t="inlineStr">
        <is>
          <t>Strong broadband / mobile infrastructure need and upgrade cycle.</t>
        </is>
      </c>
      <c r="G128" s="47" t="inlineStr">
        <is>
          <t>GSMA / ITU</t>
        </is>
      </c>
      <c r="H128" s="47" t="inlineStr">
        <is>
          <t>https://www.gsma.com/solutions-and-impact/connectivity-for-good/mobile-economy/the-mobile-economy-2026/</t>
        </is>
      </c>
    </row>
    <row r="129" ht="43.2" customHeight="1" s="50">
      <c r="A129" s="41" t="inlineStr">
        <is>
          <t>Southeast Asia</t>
        </is>
      </c>
      <c r="B129" s="41" t="inlineStr">
        <is>
          <t>Thailand</t>
        </is>
      </c>
      <c r="C129" s="41" t="inlineStr">
        <is>
          <t>NET</t>
        </is>
      </c>
      <c r="D129" s="41" t="inlineStr">
        <is>
          <t>Networking &amp; Data Systems</t>
        </is>
      </c>
      <c r="E129" s="48" t="inlineStr">
        <is>
          <t>High</t>
        </is>
      </c>
      <c r="F129" s="41" t="inlineStr">
        <is>
          <t>Enterprise digitization and traffic growth support switching, routing and LAN demand.</t>
        </is>
      </c>
      <c r="G129" s="47" t="inlineStr">
        <is>
          <t>GSMA / ITU</t>
        </is>
      </c>
      <c r="H129" s="47" t="inlineStr">
        <is>
          <t>https://www.gsma.com/solutions-and-impact/connectivity-for-good/mobile-economy/the-mobile-economy-2026/</t>
        </is>
      </c>
    </row>
    <row r="130" ht="43.2" customHeight="1" s="50">
      <c r="A130" s="41" t="inlineStr">
        <is>
          <t>Southeast Asia</t>
        </is>
      </c>
      <c r="B130" s="41" t="inlineStr">
        <is>
          <t>Thailand</t>
        </is>
      </c>
      <c r="C130" s="41" t="inlineStr">
        <is>
          <t>SEC</t>
        </is>
      </c>
      <c r="D130" s="41" t="inlineStr">
        <is>
          <t>Security &amp; Surveillance</t>
        </is>
      </c>
      <c r="E130" s="48" t="inlineStr">
        <is>
          <t>High</t>
        </is>
      </c>
      <c r="F130" s="41" t="inlineStr">
        <is>
          <t>Security spending, site protection and public/private monitoring needs are strong.</t>
        </is>
      </c>
      <c r="G130" s="47" t="inlineStr">
        <is>
          <t>GSMA / ITU</t>
        </is>
      </c>
      <c r="H130" s="47" t="inlineStr">
        <is>
          <t>https://www.gsma.com/solutions-and-impact/connectivity-for-good/mobile-economy/the-mobile-economy-2026/</t>
        </is>
      </c>
    </row>
    <row r="131" ht="43.2" customHeight="1" s="50">
      <c r="A131" s="41" t="inlineStr">
        <is>
          <t>Southeast Asia</t>
        </is>
      </c>
      <c r="B131" s="41" t="inlineStr">
        <is>
          <t>Thailand</t>
        </is>
      </c>
      <c r="C131" s="41" t="inlineStr">
        <is>
          <t>SBL</t>
        </is>
      </c>
      <c r="D131" s="41" t="inlineStr">
        <is>
          <t>Smart Building &amp; IoT</t>
        </is>
      </c>
      <c r="E131" s="48" t="inlineStr">
        <is>
          <t>Medium</t>
        </is>
      </c>
      <c r="F131" s="41" t="inlineStr">
        <is>
          <t>Smart-building demand is growing, mainly in commercial and premium projects.</t>
        </is>
      </c>
      <c r="G131" s="47" t="inlineStr">
        <is>
          <t>GSMA / ITU</t>
        </is>
      </c>
      <c r="H131" s="47" t="inlineStr">
        <is>
          <t>https://www.gsma.com/solutions-and-impact/connectivity-for-good/mobile-economy/the-mobile-economy-2026/</t>
        </is>
      </c>
    </row>
    <row r="132" ht="43.2" customHeight="1" s="50">
      <c r="A132" s="41" t="inlineStr">
        <is>
          <t>Southeast Asia</t>
        </is>
      </c>
      <c r="B132" s="41" t="inlineStr">
        <is>
          <t>Thailand</t>
        </is>
      </c>
      <c r="C132" s="41" t="inlineStr">
        <is>
          <t>DCA</t>
        </is>
      </c>
      <c r="D132" s="41" t="inlineStr">
        <is>
          <t>Data Centre &amp; AI Infrastructure</t>
        </is>
      </c>
      <c r="E132" s="48" t="inlineStr">
        <is>
          <t>Medium</t>
        </is>
      </c>
      <c r="F132" s="41" t="inlineStr">
        <is>
          <t>Emerging demand exists through enterprise, colocation or regional hub development.</t>
        </is>
      </c>
      <c r="G132" s="47" t="inlineStr">
        <is>
          <t>GSMA / ITU</t>
        </is>
      </c>
      <c r="H132" s="47" t="inlineStr">
        <is>
          <t>https://www.gsma.com/solutions-and-impact/connectivity-for-good/mobile-economy/the-mobile-economy-2026/</t>
        </is>
      </c>
    </row>
    <row r="133" ht="43.2" customHeight="1" s="50">
      <c r="A133" s="41" t="inlineStr">
        <is>
          <t>Southeast Asia</t>
        </is>
      </c>
      <c r="B133" s="41" t="inlineStr">
        <is>
          <t>Thailand</t>
        </is>
      </c>
      <c r="C133" s="41" t="inlineStr">
        <is>
          <t>ROB</t>
        </is>
      </c>
      <c r="D133" s="41" t="inlineStr">
        <is>
          <t>Robotics &amp; Intelligent Devices</t>
        </is>
      </c>
      <c r="E133" s="48" t="inlineStr">
        <is>
          <t>Medium</t>
        </is>
      </c>
      <c r="F133" s="41" t="inlineStr">
        <is>
          <t>Robotics interest is growing, but adoption is still use-case specific.</t>
        </is>
      </c>
      <c r="G133" s="47" t="inlineStr">
        <is>
          <t>GSMA / ITU</t>
        </is>
      </c>
      <c r="H133" s="47" t="inlineStr">
        <is>
          <t>https://www.gsma.com/solutions-and-impact/connectivity-for-good/mobile-economy/the-mobile-economy-2026/</t>
        </is>
      </c>
    </row>
    <row r="134" ht="43.2" customHeight="1" s="50">
      <c r="A134" s="41" t="inlineStr">
        <is>
          <t>Southeast Asia</t>
        </is>
      </c>
      <c r="B134" s="41" t="inlineStr">
        <is>
          <t>Thailand</t>
        </is>
      </c>
      <c r="C134" s="41" t="inlineStr">
        <is>
          <t>CEV</t>
        </is>
      </c>
      <c r="D134" s="41" t="inlineStr">
        <is>
          <t>Commercial Electronics &amp; Visual Systems</t>
        </is>
      </c>
      <c r="E134" s="48" t="inlineStr">
        <is>
          <t>Medium</t>
        </is>
      </c>
      <c r="F134" s="41" t="inlineStr">
        <is>
          <t>Commercial display and workplace-system demand is growing selectively.</t>
        </is>
      </c>
      <c r="G134" s="47" t="inlineStr">
        <is>
          <t>GSMA / ITU</t>
        </is>
      </c>
      <c r="H134" s="47" t="inlineStr">
        <is>
          <t>https://www.gsma.com/solutions-and-impact/connectivity-for-good/mobile-economy/the-mobile-economy-2026/</t>
        </is>
      </c>
    </row>
    <row r="135" ht="43.2" customHeight="1" s="50">
      <c r="A135" s="41" t="inlineStr">
        <is>
          <t>Southeast Asia</t>
        </is>
      </c>
      <c r="B135" s="41" t="inlineStr">
        <is>
          <t>Philippines</t>
        </is>
      </c>
      <c r="C135" s="41" t="inlineStr">
        <is>
          <t>TEL</t>
        </is>
      </c>
      <c r="D135" s="41" t="inlineStr">
        <is>
          <t>Telecommunications Infrastructure</t>
        </is>
      </c>
      <c r="E135" s="48" t="inlineStr">
        <is>
          <t>Medium</t>
        </is>
      </c>
      <c r="F135" s="41" t="inlineStr">
        <is>
          <t>Selective fiber and access-network expansion supports demand.</t>
        </is>
      </c>
      <c r="G135" s="47" t="inlineStr">
        <is>
          <t>GSMA / ITU</t>
        </is>
      </c>
      <c r="H135" s="47" t="inlineStr">
        <is>
          <t>https://www.gsma.com/solutions-and-impact/connectivity-for-good/mobile-economy/the-mobile-economy-2026/</t>
        </is>
      </c>
    </row>
    <row r="136" ht="43.2" customHeight="1" s="50">
      <c r="A136" s="41" t="inlineStr">
        <is>
          <t>Southeast Asia</t>
        </is>
      </c>
      <c r="B136" s="41" t="inlineStr">
        <is>
          <t>Philippines</t>
        </is>
      </c>
      <c r="C136" s="41" t="inlineStr">
        <is>
          <t>NET</t>
        </is>
      </c>
      <c r="D136" s="41" t="inlineStr">
        <is>
          <t>Networking &amp; Data Systems</t>
        </is>
      </c>
      <c r="E136" s="48" t="inlineStr">
        <is>
          <t>Medium</t>
        </is>
      </c>
      <c r="F136" s="41" t="inlineStr">
        <is>
          <t>Steady network refresh and connectivity expansion support demand.</t>
        </is>
      </c>
      <c r="G136" s="47" t="inlineStr">
        <is>
          <t>GSMA / ITU</t>
        </is>
      </c>
      <c r="H136" s="47" t="inlineStr">
        <is>
          <t>https://www.gsma.com/solutions-and-impact/connectivity-for-good/mobile-economy/the-mobile-economy-2026/</t>
        </is>
      </c>
    </row>
    <row r="137" ht="43.2" customHeight="1" s="50">
      <c r="A137" s="41" t="inlineStr">
        <is>
          <t>Southeast Asia</t>
        </is>
      </c>
      <c r="B137" s="41" t="inlineStr">
        <is>
          <t>Philippines</t>
        </is>
      </c>
      <c r="C137" s="41" t="inlineStr">
        <is>
          <t>SEC</t>
        </is>
      </c>
      <c r="D137" s="41" t="inlineStr">
        <is>
          <t>Security &amp; Surveillance</t>
        </is>
      </c>
      <c r="E137" s="48" t="inlineStr">
        <is>
          <t>Medium</t>
        </is>
      </c>
      <c r="F137" s="41" t="inlineStr">
        <is>
          <t>Security demand is present across buildings and infrastructure, but project scale is uneven.</t>
        </is>
      </c>
      <c r="G137" s="47" t="inlineStr">
        <is>
          <t>GSMA / ITU</t>
        </is>
      </c>
      <c r="H137" s="47" t="inlineStr">
        <is>
          <t>https://www.gsma.com/solutions-and-impact/connectivity-for-good/mobile-economy/the-mobile-economy-2026/</t>
        </is>
      </c>
    </row>
    <row r="138" ht="43.2" customHeight="1" s="50">
      <c r="A138" s="41" t="inlineStr">
        <is>
          <t>Southeast Asia</t>
        </is>
      </c>
      <c r="B138" s="41" t="inlineStr">
        <is>
          <t>Philippines</t>
        </is>
      </c>
      <c r="C138" s="41" t="inlineStr">
        <is>
          <t>SBL</t>
        </is>
      </c>
      <c r="D138" s="41" t="inlineStr">
        <is>
          <t>Smart Building &amp; IoT</t>
        </is>
      </c>
      <c r="E138" s="48" t="inlineStr">
        <is>
          <t>Medium</t>
        </is>
      </c>
      <c r="F138" s="41" t="inlineStr">
        <is>
          <t>Smart-building demand is growing, mainly in commercial and premium projects.</t>
        </is>
      </c>
      <c r="G138" s="47" t="inlineStr">
        <is>
          <t>GSMA / ITU</t>
        </is>
      </c>
      <c r="H138" s="47" t="inlineStr">
        <is>
          <t>https://www.gsma.com/solutions-and-impact/connectivity-for-good/mobile-economy/the-mobile-economy-2026/</t>
        </is>
      </c>
    </row>
    <row r="139" ht="43.2" customHeight="1" s="50">
      <c r="A139" s="41" t="inlineStr">
        <is>
          <t>Southeast Asia</t>
        </is>
      </c>
      <c r="B139" s="41" t="inlineStr">
        <is>
          <t>Philippines</t>
        </is>
      </c>
      <c r="C139" s="41" t="inlineStr">
        <is>
          <t>DCA</t>
        </is>
      </c>
      <c r="D139" s="41" t="inlineStr">
        <is>
          <t>Data Centre &amp; AI Infrastructure</t>
        </is>
      </c>
      <c r="E139" s="48" t="inlineStr">
        <is>
          <t>Medium</t>
        </is>
      </c>
      <c r="F139" s="41" t="inlineStr">
        <is>
          <t>Emerging demand exists through enterprise, colocation or regional hub development.</t>
        </is>
      </c>
      <c r="G139" s="47" t="inlineStr">
        <is>
          <t>GSMA / ITU</t>
        </is>
      </c>
      <c r="H139" s="47" t="inlineStr">
        <is>
          <t>https://www.gsma.com/solutions-and-impact/connectivity-for-good/mobile-economy/the-mobile-economy-2026/</t>
        </is>
      </c>
    </row>
    <row r="140" ht="43.2" customHeight="1" s="50">
      <c r="A140" s="41" t="inlineStr">
        <is>
          <t>Southeast Asia</t>
        </is>
      </c>
      <c r="B140" s="41" t="inlineStr">
        <is>
          <t>Philippines</t>
        </is>
      </c>
      <c r="C140" s="41" t="inlineStr">
        <is>
          <t>ROB</t>
        </is>
      </c>
      <c r="D140" s="41" t="inlineStr">
        <is>
          <t>Robotics &amp; Intelligent Devices</t>
        </is>
      </c>
      <c r="E140" s="48" t="inlineStr">
        <is>
          <t>Medium</t>
        </is>
      </c>
      <c r="F140" s="41" t="inlineStr">
        <is>
          <t>Robotics interest is growing, but adoption is still use-case specific.</t>
        </is>
      </c>
      <c r="G140" s="47" t="inlineStr">
        <is>
          <t>GSMA / ITU</t>
        </is>
      </c>
      <c r="H140" s="47" t="inlineStr">
        <is>
          <t>https://www.gsma.com/solutions-and-impact/connectivity-for-good/mobile-economy/the-mobile-economy-2026/</t>
        </is>
      </c>
    </row>
    <row r="141" ht="43.2" customHeight="1" s="50">
      <c r="A141" s="41" t="inlineStr">
        <is>
          <t>Southeast Asia</t>
        </is>
      </c>
      <c r="B141" s="41" t="inlineStr">
        <is>
          <t>Philippines</t>
        </is>
      </c>
      <c r="C141" s="41" t="inlineStr">
        <is>
          <t>CEV</t>
        </is>
      </c>
      <c r="D141" s="41" t="inlineStr">
        <is>
          <t>Commercial Electronics &amp; Visual Systems</t>
        </is>
      </c>
      <c r="E141" s="48" t="inlineStr">
        <is>
          <t>Medium</t>
        </is>
      </c>
      <c r="F141" s="41" t="inlineStr">
        <is>
          <t>Commercial display and workplace-system demand is growing selectively.</t>
        </is>
      </c>
      <c r="G141" s="47" t="inlineStr">
        <is>
          <t>GSMA / ITU</t>
        </is>
      </c>
      <c r="H141" s="47" t="inlineStr">
        <is>
          <t>https://www.gsma.com/solutions-and-impact/connectivity-for-good/mobile-economy/the-mobile-economy-2026/</t>
        </is>
      </c>
    </row>
    <row r="142" ht="28.8" customHeight="1" s="50">
      <c r="A142" s="41" t="inlineStr">
        <is>
          <t>Southeast Asia</t>
        </is>
      </c>
      <c r="B142" s="41" t="inlineStr">
        <is>
          <t>Singapore</t>
        </is>
      </c>
      <c r="C142" s="41" t="inlineStr">
        <is>
          <t>TEL</t>
        </is>
      </c>
      <c r="D142" s="41" t="inlineStr">
        <is>
          <t>Telecommunications Infrastructure</t>
        </is>
      </c>
      <c r="E142" s="48" t="inlineStr">
        <is>
          <t>High</t>
        </is>
      </c>
      <c r="F142" s="41" t="inlineStr">
        <is>
          <t>Strong broadband / mobile infrastructure need and upgrade cycle.</t>
        </is>
      </c>
      <c r="G142" s="47" t="inlineStr">
        <is>
          <t>JLL / ITU</t>
        </is>
      </c>
      <c r="H142" s="47" t="inlineStr">
        <is>
          <t>https://www.jll.com/en-us/insights/market-outlook/data-center-outlook</t>
        </is>
      </c>
    </row>
    <row r="143" ht="28.8" customHeight="1" s="50">
      <c r="A143" s="41" t="inlineStr">
        <is>
          <t>Southeast Asia</t>
        </is>
      </c>
      <c r="B143" s="41" t="inlineStr">
        <is>
          <t>Singapore</t>
        </is>
      </c>
      <c r="C143" s="41" t="inlineStr">
        <is>
          <t>NET</t>
        </is>
      </c>
      <c r="D143" s="41" t="inlineStr">
        <is>
          <t>Networking &amp; Data Systems</t>
        </is>
      </c>
      <c r="E143" s="48" t="inlineStr">
        <is>
          <t>High</t>
        </is>
      </c>
      <c r="F143" s="41" t="inlineStr">
        <is>
          <t>Enterprise digitization and traffic growth support switching, routing and LAN demand.</t>
        </is>
      </c>
      <c r="G143" s="47" t="inlineStr">
        <is>
          <t>JLL / ITU</t>
        </is>
      </c>
      <c r="H143" s="47" t="inlineStr">
        <is>
          <t>https://www.jll.com/en-us/insights/market-outlook/data-center-outlook</t>
        </is>
      </c>
    </row>
    <row r="144" ht="28.8" customHeight="1" s="50">
      <c r="A144" s="41" t="inlineStr">
        <is>
          <t>Southeast Asia</t>
        </is>
      </c>
      <c r="B144" s="41" t="inlineStr">
        <is>
          <t>Singapore</t>
        </is>
      </c>
      <c r="C144" s="41" t="inlineStr">
        <is>
          <t>SEC</t>
        </is>
      </c>
      <c r="D144" s="41" t="inlineStr">
        <is>
          <t>Security &amp; Surveillance</t>
        </is>
      </c>
      <c r="E144" s="48" t="inlineStr">
        <is>
          <t>Medium</t>
        </is>
      </c>
      <c r="F144" s="41" t="inlineStr">
        <is>
          <t>Security demand is present across buildings and infrastructure, but project scale is uneven.</t>
        </is>
      </c>
      <c r="G144" s="47" t="inlineStr">
        <is>
          <t>JLL / ITU</t>
        </is>
      </c>
      <c r="H144" s="47" t="inlineStr">
        <is>
          <t>https://www.jll.com/en-us/insights/market-outlook/data-center-outlook</t>
        </is>
      </c>
    </row>
    <row r="145" ht="28.8" customHeight="1" s="50">
      <c r="A145" s="41" t="inlineStr">
        <is>
          <t>Southeast Asia</t>
        </is>
      </c>
      <c r="B145" s="41" t="inlineStr">
        <is>
          <t>Singapore</t>
        </is>
      </c>
      <c r="C145" s="41" t="inlineStr">
        <is>
          <t>SBL</t>
        </is>
      </c>
      <c r="D145" s="41" t="inlineStr">
        <is>
          <t>Smart Building &amp; IoT</t>
        </is>
      </c>
      <c r="E145" s="48" t="inlineStr">
        <is>
          <t>High</t>
        </is>
      </c>
      <c r="F145" s="41" t="inlineStr">
        <is>
          <t>Real-estate modernization and connected-building demand support smart systems.</t>
        </is>
      </c>
      <c r="G145" s="47" t="inlineStr">
        <is>
          <t>JLL / ITU</t>
        </is>
      </c>
      <c r="H145" s="47" t="inlineStr">
        <is>
          <t>https://www.jll.com/en-us/insights/market-outlook/data-center-outlook</t>
        </is>
      </c>
    </row>
    <row r="146" ht="28.8" customHeight="1" s="50">
      <c r="A146" s="41" t="inlineStr">
        <is>
          <t>Southeast Asia</t>
        </is>
      </c>
      <c r="B146" s="41" t="inlineStr">
        <is>
          <t>Singapore</t>
        </is>
      </c>
      <c r="C146" s="41" t="inlineStr">
        <is>
          <t>DCA</t>
        </is>
      </c>
      <c r="D146" s="41" t="inlineStr">
        <is>
          <t>Data Centre &amp; AI Infrastructure</t>
        </is>
      </c>
      <c r="E146" s="48" t="inlineStr">
        <is>
          <t>High</t>
        </is>
      </c>
      <c r="F146" s="41" t="inlineStr">
        <is>
          <t>Cloud, AI and enterprise compute growth create strong data-center infrastructure demand.</t>
        </is>
      </c>
      <c r="G146" s="47" t="inlineStr">
        <is>
          <t>JLL / ITU</t>
        </is>
      </c>
      <c r="H146" s="47" t="inlineStr">
        <is>
          <t>https://www.jll.com/en-us/insights/market-outlook/data-center-outlook</t>
        </is>
      </c>
    </row>
    <row r="147" ht="28.8" customHeight="1" s="50">
      <c r="A147" s="41" t="inlineStr">
        <is>
          <t>Southeast Asia</t>
        </is>
      </c>
      <c r="B147" s="41" t="inlineStr">
        <is>
          <t>Singapore</t>
        </is>
      </c>
      <c r="C147" s="41" t="inlineStr">
        <is>
          <t>ROB</t>
        </is>
      </c>
      <c r="D147" s="41" t="inlineStr">
        <is>
          <t>Robotics &amp; Intelligent Devices</t>
        </is>
      </c>
      <c r="E147" s="48" t="inlineStr">
        <is>
          <t>Medium</t>
        </is>
      </c>
      <c r="F147" s="41" t="inlineStr">
        <is>
          <t>Robotics interest is growing, but adoption is still use-case specific.</t>
        </is>
      </c>
      <c r="G147" s="47" t="inlineStr">
        <is>
          <t>JLL / ITU</t>
        </is>
      </c>
      <c r="H147" s="47" t="inlineStr">
        <is>
          <t>https://www.jll.com/en-us/insights/market-outlook/data-center-outlook</t>
        </is>
      </c>
    </row>
    <row r="148" ht="28.8" customHeight="1" s="50">
      <c r="A148" s="41" t="inlineStr">
        <is>
          <t>Southeast Asia</t>
        </is>
      </c>
      <c r="B148" s="41" t="inlineStr">
        <is>
          <t>Singapore</t>
        </is>
      </c>
      <c r="C148" s="41" t="inlineStr">
        <is>
          <t>CEV</t>
        </is>
      </c>
      <c r="D148" s="41" t="inlineStr">
        <is>
          <t>Commercial Electronics &amp; Visual Systems</t>
        </is>
      </c>
      <c r="E148" s="48" t="inlineStr">
        <is>
          <t>High</t>
        </is>
      </c>
      <c r="F148" s="41" t="inlineStr">
        <is>
          <t>Retail, enterprise and public-space modernization support strong AV/display demand.</t>
        </is>
      </c>
      <c r="G148" s="47" t="inlineStr">
        <is>
          <t>JLL / ITU</t>
        </is>
      </c>
      <c r="H148" s="47" t="inlineStr">
        <is>
          <t>https://www.jll.com/en-us/insights/market-outlook/data-center-outlook</t>
        </is>
      </c>
    </row>
    <row r="149" ht="43.2" customHeight="1" s="50">
      <c r="A149" s="41" t="inlineStr">
        <is>
          <t>Southeast Asia</t>
        </is>
      </c>
      <c r="B149" s="41" t="inlineStr">
        <is>
          <t>Cambodia</t>
        </is>
      </c>
      <c r="C149" s="41" t="inlineStr">
        <is>
          <t>TEL</t>
        </is>
      </c>
      <c r="D149" s="41" t="inlineStr">
        <is>
          <t>Telecommunications Infrastructure</t>
        </is>
      </c>
      <c r="E149" s="48" t="inlineStr">
        <is>
          <t>Low</t>
        </is>
      </c>
      <c r="F149" s="41" t="inlineStr">
        <is>
          <t>Need exists, but market scale or execution conditions limit demand.</t>
        </is>
      </c>
      <c r="G149" s="47" t="inlineStr">
        <is>
          <t>GSMA / ITU</t>
        </is>
      </c>
      <c r="H149" s="47" t="inlineStr">
        <is>
          <t>https://www.gsma.com/solutions-and-impact/connectivity-for-good/mobile-economy/the-mobile-economy-2026/</t>
        </is>
      </c>
    </row>
    <row r="150" ht="43.2" customHeight="1" s="50">
      <c r="A150" s="41" t="inlineStr">
        <is>
          <t>Southeast Asia</t>
        </is>
      </c>
      <c r="B150" s="41" t="inlineStr">
        <is>
          <t>Cambodia</t>
        </is>
      </c>
      <c r="C150" s="41" t="inlineStr">
        <is>
          <t>NET</t>
        </is>
      </c>
      <c r="D150" s="41" t="inlineStr">
        <is>
          <t>Networking &amp; Data Systems</t>
        </is>
      </c>
      <c r="E150" s="48" t="inlineStr">
        <is>
          <t>Low</t>
        </is>
      </c>
      <c r="F150" s="41" t="inlineStr">
        <is>
          <t>Networking demand exists, but budgets and project depth stay limited.</t>
        </is>
      </c>
      <c r="G150" s="47" t="inlineStr">
        <is>
          <t>GSMA / ITU</t>
        </is>
      </c>
      <c r="H150" s="47" t="inlineStr">
        <is>
          <t>https://www.gsma.com/solutions-and-impact/connectivity-for-good/mobile-economy/the-mobile-economy-2026/</t>
        </is>
      </c>
    </row>
    <row r="151" ht="43.2" customHeight="1" s="50">
      <c r="A151" s="41" t="inlineStr">
        <is>
          <t>Southeast Asia</t>
        </is>
      </c>
      <c r="B151" s="41" t="inlineStr">
        <is>
          <t>Cambodia</t>
        </is>
      </c>
      <c r="C151" s="41" t="inlineStr">
        <is>
          <t>SEC</t>
        </is>
      </c>
      <c r="D151" s="41" t="inlineStr">
        <is>
          <t>Security &amp; Surveillance</t>
        </is>
      </c>
      <c r="E151" s="48" t="inlineStr">
        <is>
          <t>Medium</t>
        </is>
      </c>
      <c r="F151" s="41" t="inlineStr">
        <is>
          <t>Security demand is present across buildings and infrastructure, but project scale is uneven.</t>
        </is>
      </c>
      <c r="G151" s="47" t="inlineStr">
        <is>
          <t>GSMA / ITU</t>
        </is>
      </c>
      <c r="H151" s="47" t="inlineStr">
        <is>
          <t>https://www.gsma.com/solutions-and-impact/connectivity-for-good/mobile-economy/the-mobile-economy-2026/</t>
        </is>
      </c>
    </row>
    <row r="152" ht="43.2" customHeight="1" s="50">
      <c r="A152" s="41" t="inlineStr">
        <is>
          <t>Southeast Asia</t>
        </is>
      </c>
      <c r="B152" s="41" t="inlineStr">
        <is>
          <t>Cambodia</t>
        </is>
      </c>
      <c r="C152" s="41" t="inlineStr">
        <is>
          <t>SBL</t>
        </is>
      </c>
      <c r="D152" s="41" t="inlineStr">
        <is>
          <t>Smart Building &amp; IoT</t>
        </is>
      </c>
      <c r="E152" s="48" t="inlineStr">
        <is>
          <t>Medium</t>
        </is>
      </c>
      <c r="F152" s="41" t="inlineStr">
        <is>
          <t>Smart-building demand is growing, mainly in commercial and premium projects.</t>
        </is>
      </c>
      <c r="G152" s="47" t="inlineStr">
        <is>
          <t>GSMA / ITU</t>
        </is>
      </c>
      <c r="H152" s="47" t="inlineStr">
        <is>
          <t>https://www.gsma.com/solutions-and-impact/connectivity-for-good/mobile-economy/the-mobile-economy-2026/</t>
        </is>
      </c>
    </row>
    <row r="153" ht="43.2" customHeight="1" s="50">
      <c r="A153" s="41" t="inlineStr">
        <is>
          <t>Southeast Asia</t>
        </is>
      </c>
      <c r="B153" s="41" t="inlineStr">
        <is>
          <t>Cambodia</t>
        </is>
      </c>
      <c r="C153" s="41" t="inlineStr">
        <is>
          <t>DCA</t>
        </is>
      </c>
      <c r="D153" s="41" t="inlineStr">
        <is>
          <t>Data Centre &amp; AI Infrastructure</t>
        </is>
      </c>
      <c r="E153" s="48" t="inlineStr">
        <is>
          <t>Medium</t>
        </is>
      </c>
      <c r="F153" s="41" t="inlineStr">
        <is>
          <t>Emerging demand exists through enterprise, colocation or regional hub development.</t>
        </is>
      </c>
      <c r="G153" s="47" t="inlineStr">
        <is>
          <t>GSMA / ITU</t>
        </is>
      </c>
      <c r="H153" s="47" t="inlineStr">
        <is>
          <t>https://www.gsma.com/solutions-and-impact/connectivity-for-good/mobile-economy/the-mobile-economy-2026/</t>
        </is>
      </c>
    </row>
    <row r="154" ht="43.2" customHeight="1" s="50">
      <c r="A154" s="41" t="inlineStr">
        <is>
          <t>Southeast Asia</t>
        </is>
      </c>
      <c r="B154" s="41" t="inlineStr">
        <is>
          <t>Cambodia</t>
        </is>
      </c>
      <c r="C154" s="41" t="inlineStr">
        <is>
          <t>ROB</t>
        </is>
      </c>
      <c r="D154" s="41" t="inlineStr">
        <is>
          <t>Robotics &amp; Intelligent Devices</t>
        </is>
      </c>
      <c r="E154" s="48" t="inlineStr">
        <is>
          <t>Medium</t>
        </is>
      </c>
      <c r="F154" s="41" t="inlineStr">
        <is>
          <t>Robotics interest is growing, but adoption is still use-case specific.</t>
        </is>
      </c>
      <c r="G154" s="47" t="inlineStr">
        <is>
          <t>GSMA / ITU</t>
        </is>
      </c>
      <c r="H154" s="47" t="inlineStr">
        <is>
          <t>https://www.gsma.com/solutions-and-impact/connectivity-for-good/mobile-economy/the-mobile-economy-2026/</t>
        </is>
      </c>
    </row>
    <row r="155" ht="43.2" customHeight="1" s="50">
      <c r="A155" s="41" t="inlineStr">
        <is>
          <t>Southeast Asia</t>
        </is>
      </c>
      <c r="B155" s="41" t="inlineStr">
        <is>
          <t>Cambodia</t>
        </is>
      </c>
      <c r="C155" s="41" t="inlineStr">
        <is>
          <t>CEV</t>
        </is>
      </c>
      <c r="D155" s="41" t="inlineStr">
        <is>
          <t>Commercial Electronics &amp; Visual Systems</t>
        </is>
      </c>
      <c r="E155" s="48" t="inlineStr">
        <is>
          <t>Medium</t>
        </is>
      </c>
      <c r="F155" s="41" t="inlineStr">
        <is>
          <t>Commercial display and workplace-system demand is growing selectively.</t>
        </is>
      </c>
      <c r="G155" s="47" t="inlineStr">
        <is>
          <t>GSMA / ITU</t>
        </is>
      </c>
      <c r="H155" s="47" t="inlineStr">
        <is>
          <t>https://www.gsma.com/solutions-and-impact/connectivity-for-good/mobile-economy/the-mobile-economy-2026/</t>
        </is>
      </c>
    </row>
    <row r="156" ht="28.8" customHeight="1" s="50">
      <c r="A156" s="41" t="inlineStr">
        <is>
          <t>Africa</t>
        </is>
      </c>
      <c r="B156" s="41" t="inlineStr">
        <is>
          <t>South Africa</t>
        </is>
      </c>
      <c r="C156" s="41" t="inlineStr">
        <is>
          <t>TEL</t>
        </is>
      </c>
      <c r="D156" s="41" t="inlineStr">
        <is>
          <t>Telecommunications Infrastructure</t>
        </is>
      </c>
      <c r="E156" s="48" t="inlineStr">
        <is>
          <t>Medium</t>
        </is>
      </c>
      <c r="F156" s="41" t="inlineStr">
        <is>
          <t>Selective fiber and access-network expansion supports demand.</t>
        </is>
      </c>
      <c r="G156" s="47" t="inlineStr">
        <is>
          <t>GSMA Africa / ITU</t>
        </is>
      </c>
      <c r="H156" s="47" t="inlineStr">
        <is>
          <t>https://www.gsmaintelligence.com/research/the-mobile-economy-africa-2025</t>
        </is>
      </c>
    </row>
    <row r="157" ht="28.8" customHeight="1" s="50">
      <c r="A157" s="41" t="inlineStr">
        <is>
          <t>Africa</t>
        </is>
      </c>
      <c r="B157" s="41" t="inlineStr">
        <is>
          <t>South Africa</t>
        </is>
      </c>
      <c r="C157" s="41" t="inlineStr">
        <is>
          <t>NET</t>
        </is>
      </c>
      <c r="D157" s="41" t="inlineStr">
        <is>
          <t>Networking &amp; Data Systems</t>
        </is>
      </c>
      <c r="E157" s="48" t="inlineStr">
        <is>
          <t>High</t>
        </is>
      </c>
      <c r="F157" s="41" t="inlineStr">
        <is>
          <t>Enterprise digitization and traffic growth support switching, routing and LAN demand.</t>
        </is>
      </c>
      <c r="G157" s="47" t="inlineStr">
        <is>
          <t>GSMA Africa / ITU</t>
        </is>
      </c>
      <c r="H157" s="47" t="inlineStr">
        <is>
          <t>https://www.gsmaintelligence.com/research/the-mobile-economy-africa-2025</t>
        </is>
      </c>
    </row>
    <row r="158" ht="28.8" customHeight="1" s="50">
      <c r="A158" s="41" t="inlineStr">
        <is>
          <t>Africa</t>
        </is>
      </c>
      <c r="B158" s="41" t="inlineStr">
        <is>
          <t>South Africa</t>
        </is>
      </c>
      <c r="C158" s="41" t="inlineStr">
        <is>
          <t>SEC</t>
        </is>
      </c>
      <c r="D158" s="41" t="inlineStr">
        <is>
          <t>Security &amp; Surveillance</t>
        </is>
      </c>
      <c r="E158" s="48" t="inlineStr">
        <is>
          <t>High</t>
        </is>
      </c>
      <c r="F158" s="41" t="inlineStr">
        <is>
          <t>Security spending, site protection and public/private monitoring needs are strong.</t>
        </is>
      </c>
      <c r="G158" s="47" t="inlineStr">
        <is>
          <t>GSMA Africa / ITU</t>
        </is>
      </c>
      <c r="H158" s="47" t="inlineStr">
        <is>
          <t>https://www.gsmaintelligence.com/research/the-mobile-economy-africa-2025</t>
        </is>
      </c>
    </row>
    <row r="159" ht="28.8" customHeight="1" s="50">
      <c r="A159" s="41" t="inlineStr">
        <is>
          <t>Africa</t>
        </is>
      </c>
      <c r="B159" s="41" t="inlineStr">
        <is>
          <t>South Africa</t>
        </is>
      </c>
      <c r="C159" s="41" t="inlineStr">
        <is>
          <t>SBL</t>
        </is>
      </c>
      <c r="D159" s="41" t="inlineStr">
        <is>
          <t>Smart Building &amp; IoT</t>
        </is>
      </c>
      <c r="E159" s="48" t="inlineStr">
        <is>
          <t>Low</t>
        </is>
      </c>
      <c r="F159" s="41" t="inlineStr">
        <is>
          <t>Adoption remains selective and concentrated in higher-end developments.</t>
        </is>
      </c>
      <c r="G159" s="47" t="inlineStr">
        <is>
          <t>GSMA Africa / ITU</t>
        </is>
      </c>
      <c r="H159" s="47" t="inlineStr">
        <is>
          <t>https://www.gsmaintelligence.com/research/the-mobile-economy-africa-2025</t>
        </is>
      </c>
    </row>
    <row r="160" ht="28.8" customHeight="1" s="50">
      <c r="A160" s="41" t="inlineStr">
        <is>
          <t>Africa</t>
        </is>
      </c>
      <c r="B160" s="41" t="inlineStr">
        <is>
          <t>South Africa</t>
        </is>
      </c>
      <c r="C160" s="41" t="inlineStr">
        <is>
          <t>DCA</t>
        </is>
      </c>
      <c r="D160" s="41" t="inlineStr">
        <is>
          <t>Data Centre &amp; AI Infrastructure</t>
        </is>
      </c>
      <c r="E160" s="48" t="inlineStr">
        <is>
          <t>Medium</t>
        </is>
      </c>
      <c r="F160" s="41" t="inlineStr">
        <is>
          <t>Emerging demand exists through enterprise, colocation or regional hub development.</t>
        </is>
      </c>
      <c r="G160" s="47" t="inlineStr">
        <is>
          <t>GSMA Africa / ITU</t>
        </is>
      </c>
      <c r="H160" s="47" t="inlineStr">
        <is>
          <t>https://www.gsmaintelligence.com/research/the-mobile-economy-africa-2025</t>
        </is>
      </c>
    </row>
    <row r="161" ht="28.8" customHeight="1" s="50">
      <c r="A161" s="41" t="inlineStr">
        <is>
          <t>Africa</t>
        </is>
      </c>
      <c r="B161" s="41" t="inlineStr">
        <is>
          <t>South Africa</t>
        </is>
      </c>
      <c r="C161" s="41" t="inlineStr">
        <is>
          <t>ROB</t>
        </is>
      </c>
      <c r="D161" s="41" t="inlineStr">
        <is>
          <t>Robotics &amp; Intelligent Devices</t>
        </is>
      </c>
      <c r="E161" s="48" t="inlineStr">
        <is>
          <t>Low</t>
        </is>
      </c>
      <c r="F161" s="41" t="inlineStr">
        <is>
          <t>Robotics remains early-stage and not yet a broad purchasing priority.</t>
        </is>
      </c>
      <c r="G161" s="47" t="inlineStr">
        <is>
          <t>GSMA Africa / ITU</t>
        </is>
      </c>
      <c r="H161" s="47" t="inlineStr">
        <is>
          <t>https://www.gsmaintelligence.com/research/the-mobile-economy-africa-2025</t>
        </is>
      </c>
    </row>
    <row r="162" ht="28.8" customHeight="1" s="50">
      <c r="A162" s="41" t="inlineStr">
        <is>
          <t>Africa</t>
        </is>
      </c>
      <c r="B162" s="41" t="inlineStr">
        <is>
          <t>South Africa</t>
        </is>
      </c>
      <c r="C162" s="41" t="inlineStr">
        <is>
          <t>CEV</t>
        </is>
      </c>
      <c r="D162" s="41" t="inlineStr">
        <is>
          <t>Commercial Electronics &amp; Visual Systems</t>
        </is>
      </c>
      <c r="E162" s="48" t="inlineStr">
        <is>
          <t>Medium</t>
        </is>
      </c>
      <c r="F162" s="41" t="inlineStr">
        <is>
          <t>Commercial display and workplace-system demand is growing selectively.</t>
        </is>
      </c>
      <c r="G162" s="47" t="inlineStr">
        <is>
          <t>GSMA Africa / ITU</t>
        </is>
      </c>
      <c r="H162" s="47" t="inlineStr">
        <is>
          <t>https://www.gsmaintelligence.com/research/the-mobile-economy-africa-2025</t>
        </is>
      </c>
    </row>
    <row r="163" ht="28.8" customHeight="1" s="50">
      <c r="A163" s="41" t="inlineStr">
        <is>
          <t>Africa</t>
        </is>
      </c>
      <c r="B163" s="41" t="inlineStr">
        <is>
          <t>Egypt</t>
        </is>
      </c>
      <c r="C163" s="41" t="inlineStr">
        <is>
          <t>TEL</t>
        </is>
      </c>
      <c r="D163" s="41" t="inlineStr">
        <is>
          <t>Telecommunications Infrastructure</t>
        </is>
      </c>
      <c r="E163" s="48" t="inlineStr">
        <is>
          <t>High</t>
        </is>
      </c>
      <c r="F163" s="41" t="inlineStr">
        <is>
          <t>Strong broadband / mobile infrastructure need and upgrade cycle.</t>
        </is>
      </c>
      <c r="G163" s="47" t="inlineStr">
        <is>
          <t>GSMA Africa / ITU</t>
        </is>
      </c>
      <c r="H163" s="47" t="inlineStr">
        <is>
          <t>https://www.gsmaintelligence.com/research/the-mobile-economy-africa-2025</t>
        </is>
      </c>
    </row>
    <row r="164" ht="28.8" customHeight="1" s="50">
      <c r="A164" s="41" t="inlineStr">
        <is>
          <t>Africa</t>
        </is>
      </c>
      <c r="B164" s="41" t="inlineStr">
        <is>
          <t>Egypt</t>
        </is>
      </c>
      <c r="C164" s="41" t="inlineStr">
        <is>
          <t>NET</t>
        </is>
      </c>
      <c r="D164" s="41" t="inlineStr">
        <is>
          <t>Networking &amp; Data Systems</t>
        </is>
      </c>
      <c r="E164" s="48" t="inlineStr">
        <is>
          <t>Medium</t>
        </is>
      </c>
      <c r="F164" s="41" t="inlineStr">
        <is>
          <t>Steady network refresh and connectivity expansion support demand.</t>
        </is>
      </c>
      <c r="G164" s="47" t="inlineStr">
        <is>
          <t>GSMA Africa / ITU</t>
        </is>
      </c>
      <c r="H164" s="47" t="inlineStr">
        <is>
          <t>https://www.gsmaintelligence.com/research/the-mobile-economy-africa-2025</t>
        </is>
      </c>
    </row>
    <row r="165" ht="28.8" customHeight="1" s="50">
      <c r="A165" s="41" t="inlineStr">
        <is>
          <t>Africa</t>
        </is>
      </c>
      <c r="B165" s="41" t="inlineStr">
        <is>
          <t>Egypt</t>
        </is>
      </c>
      <c r="C165" s="41" t="inlineStr">
        <is>
          <t>SEC</t>
        </is>
      </c>
      <c r="D165" s="41" t="inlineStr">
        <is>
          <t>Security &amp; Surveillance</t>
        </is>
      </c>
      <c r="E165" s="48" t="inlineStr">
        <is>
          <t>High</t>
        </is>
      </c>
      <c r="F165" s="41" t="inlineStr">
        <is>
          <t>Security spending, site protection and public/private monitoring needs are strong.</t>
        </is>
      </c>
      <c r="G165" s="47" t="inlineStr">
        <is>
          <t>GSMA Africa / ITU</t>
        </is>
      </c>
      <c r="H165" s="47" t="inlineStr">
        <is>
          <t>https://www.gsmaintelligence.com/research/the-mobile-economy-africa-2025</t>
        </is>
      </c>
    </row>
    <row r="166" ht="28.8" customHeight="1" s="50">
      <c r="A166" s="41" t="inlineStr">
        <is>
          <t>Africa</t>
        </is>
      </c>
      <c r="B166" s="41" t="inlineStr">
        <is>
          <t>Egypt</t>
        </is>
      </c>
      <c r="C166" s="41" t="inlineStr">
        <is>
          <t>SBL</t>
        </is>
      </c>
      <c r="D166" s="41" t="inlineStr">
        <is>
          <t>Smart Building &amp; IoT</t>
        </is>
      </c>
      <c r="E166" s="48" t="inlineStr">
        <is>
          <t>Low</t>
        </is>
      </c>
      <c r="F166" s="41" t="inlineStr">
        <is>
          <t>Adoption remains selective and concentrated in higher-end developments.</t>
        </is>
      </c>
      <c r="G166" s="47" t="inlineStr">
        <is>
          <t>GSMA Africa / ITU</t>
        </is>
      </c>
      <c r="H166" s="47" t="inlineStr">
        <is>
          <t>https://www.gsmaintelligence.com/research/the-mobile-economy-africa-2025</t>
        </is>
      </c>
    </row>
    <row r="167" ht="28.8" customHeight="1" s="50">
      <c r="A167" s="41" t="inlineStr">
        <is>
          <t>Africa</t>
        </is>
      </c>
      <c r="B167" s="41" t="inlineStr">
        <is>
          <t>Egypt</t>
        </is>
      </c>
      <c r="C167" s="41" t="inlineStr">
        <is>
          <t>DCA</t>
        </is>
      </c>
      <c r="D167" s="41" t="inlineStr">
        <is>
          <t>Data Centre &amp; AI Infrastructure</t>
        </is>
      </c>
      <c r="E167" s="48" t="inlineStr">
        <is>
          <t>Medium</t>
        </is>
      </c>
      <c r="F167" s="41" t="inlineStr">
        <is>
          <t>Emerging demand exists through enterprise, colocation or regional hub development.</t>
        </is>
      </c>
      <c r="G167" s="47" t="inlineStr">
        <is>
          <t>GSMA Africa / ITU</t>
        </is>
      </c>
      <c r="H167" s="47" t="inlineStr">
        <is>
          <t>https://www.gsmaintelligence.com/research/the-mobile-economy-africa-2025</t>
        </is>
      </c>
    </row>
    <row r="168" ht="28.8" customHeight="1" s="50">
      <c r="A168" s="41" t="inlineStr">
        <is>
          <t>Africa</t>
        </is>
      </c>
      <c r="B168" s="41" t="inlineStr">
        <is>
          <t>Egypt</t>
        </is>
      </c>
      <c r="C168" s="41" t="inlineStr">
        <is>
          <t>ROB</t>
        </is>
      </c>
      <c r="D168" s="41" t="inlineStr">
        <is>
          <t>Robotics &amp; Intelligent Devices</t>
        </is>
      </c>
      <c r="E168" s="48" t="inlineStr">
        <is>
          <t>Low</t>
        </is>
      </c>
      <c r="F168" s="41" t="inlineStr">
        <is>
          <t>Robotics remains early-stage and not yet a broad purchasing priority.</t>
        </is>
      </c>
      <c r="G168" s="47" t="inlineStr">
        <is>
          <t>GSMA Africa / ITU</t>
        </is>
      </c>
      <c r="H168" s="47" t="inlineStr">
        <is>
          <t>https://www.gsmaintelligence.com/research/the-mobile-economy-africa-2025</t>
        </is>
      </c>
    </row>
    <row r="169" ht="28.8" customHeight="1" s="50">
      <c r="A169" s="41" t="inlineStr">
        <is>
          <t>Africa</t>
        </is>
      </c>
      <c r="B169" s="41" t="inlineStr">
        <is>
          <t>Egypt</t>
        </is>
      </c>
      <c r="C169" s="41" t="inlineStr">
        <is>
          <t>CEV</t>
        </is>
      </c>
      <c r="D169" s="41" t="inlineStr">
        <is>
          <t>Commercial Electronics &amp; Visual Systems</t>
        </is>
      </c>
      <c r="E169" s="48" t="inlineStr">
        <is>
          <t>Low</t>
        </is>
      </c>
      <c r="F169" s="41" t="inlineStr">
        <is>
          <t>Commercial electronics demand is present, but not yet a primary budget area.</t>
        </is>
      </c>
      <c r="G169" s="47" t="inlineStr">
        <is>
          <t>GSMA Africa / ITU</t>
        </is>
      </c>
      <c r="H169" s="47" t="inlineStr">
        <is>
          <t>https://www.gsmaintelligence.com/research/the-mobile-economy-africa-2025</t>
        </is>
      </c>
    </row>
    <row r="170" ht="28.8" customHeight="1" s="50">
      <c r="A170" s="41" t="inlineStr">
        <is>
          <t>Africa</t>
        </is>
      </c>
      <c r="B170" s="41" t="inlineStr">
        <is>
          <t>Kenya</t>
        </is>
      </c>
      <c r="C170" s="41" t="inlineStr">
        <is>
          <t>TEL</t>
        </is>
      </c>
      <c r="D170" s="41" t="inlineStr">
        <is>
          <t>Telecommunications Infrastructure</t>
        </is>
      </c>
      <c r="E170" s="48" t="inlineStr">
        <is>
          <t>Medium</t>
        </is>
      </c>
      <c r="F170" s="41" t="inlineStr">
        <is>
          <t>Selective fiber and access-network expansion supports demand.</t>
        </is>
      </c>
      <c r="G170" s="47" t="inlineStr">
        <is>
          <t>GSMA Africa / ITU</t>
        </is>
      </c>
      <c r="H170" s="47" t="inlineStr">
        <is>
          <t>https://www.gsmaintelligence.com/research/the-mobile-economy-africa-2025</t>
        </is>
      </c>
    </row>
    <row r="171" ht="28.8" customHeight="1" s="50">
      <c r="A171" s="41" t="inlineStr">
        <is>
          <t>Africa</t>
        </is>
      </c>
      <c r="B171" s="41" t="inlineStr">
        <is>
          <t>Kenya</t>
        </is>
      </c>
      <c r="C171" s="41" t="inlineStr">
        <is>
          <t>NET</t>
        </is>
      </c>
      <c r="D171" s="41" t="inlineStr">
        <is>
          <t>Networking &amp; Data Systems</t>
        </is>
      </c>
      <c r="E171" s="48" t="inlineStr">
        <is>
          <t>Medium</t>
        </is>
      </c>
      <c r="F171" s="41" t="inlineStr">
        <is>
          <t>Steady network refresh and connectivity expansion support demand.</t>
        </is>
      </c>
      <c r="G171" s="47" t="inlineStr">
        <is>
          <t>GSMA Africa / ITU</t>
        </is>
      </c>
      <c r="H171" s="47" t="inlineStr">
        <is>
          <t>https://www.gsmaintelligence.com/research/the-mobile-economy-africa-2025</t>
        </is>
      </c>
    </row>
    <row r="172" ht="28.8" customHeight="1" s="50">
      <c r="A172" s="41" t="inlineStr">
        <is>
          <t>Africa</t>
        </is>
      </c>
      <c r="B172" s="41" t="inlineStr">
        <is>
          <t>Kenya</t>
        </is>
      </c>
      <c r="C172" s="41" t="inlineStr">
        <is>
          <t>SEC</t>
        </is>
      </c>
      <c r="D172" s="41" t="inlineStr">
        <is>
          <t>Security &amp; Surveillance</t>
        </is>
      </c>
      <c r="E172" s="48" t="inlineStr">
        <is>
          <t>High</t>
        </is>
      </c>
      <c r="F172" s="41" t="inlineStr">
        <is>
          <t>Security spending, site protection and public/private monitoring needs are strong.</t>
        </is>
      </c>
      <c r="G172" s="47" t="inlineStr">
        <is>
          <t>GSMA Africa / ITU</t>
        </is>
      </c>
      <c r="H172" s="47" t="inlineStr">
        <is>
          <t>https://www.gsmaintelligence.com/research/the-mobile-economy-africa-2025</t>
        </is>
      </c>
    </row>
    <row r="173" ht="28.8" customHeight="1" s="50">
      <c r="A173" s="41" t="inlineStr">
        <is>
          <t>Africa</t>
        </is>
      </c>
      <c r="B173" s="41" t="inlineStr">
        <is>
          <t>Kenya</t>
        </is>
      </c>
      <c r="C173" s="41" t="inlineStr">
        <is>
          <t>SBL</t>
        </is>
      </c>
      <c r="D173" s="41" t="inlineStr">
        <is>
          <t>Smart Building &amp; IoT</t>
        </is>
      </c>
      <c r="E173" s="48" t="inlineStr">
        <is>
          <t>Low</t>
        </is>
      </c>
      <c r="F173" s="41" t="inlineStr">
        <is>
          <t>Adoption remains selective and concentrated in higher-end developments.</t>
        </is>
      </c>
      <c r="G173" s="47" t="inlineStr">
        <is>
          <t>GSMA Africa / ITU</t>
        </is>
      </c>
      <c r="H173" s="47" t="inlineStr">
        <is>
          <t>https://www.gsmaintelligence.com/research/the-mobile-economy-africa-2025</t>
        </is>
      </c>
    </row>
    <row r="174" ht="28.8" customHeight="1" s="50">
      <c r="A174" s="41" t="inlineStr">
        <is>
          <t>Africa</t>
        </is>
      </c>
      <c r="B174" s="41" t="inlineStr">
        <is>
          <t>Kenya</t>
        </is>
      </c>
      <c r="C174" s="41" t="inlineStr">
        <is>
          <t>DCA</t>
        </is>
      </c>
      <c r="D174" s="41" t="inlineStr">
        <is>
          <t>Data Centre &amp; AI Infrastructure</t>
        </is>
      </c>
      <c r="E174" s="48" t="inlineStr">
        <is>
          <t>Low</t>
        </is>
      </c>
      <c r="F174" s="41" t="inlineStr">
        <is>
          <t>Datacenter demand is still early-stage or constrained by power / market scale.</t>
        </is>
      </c>
      <c r="G174" s="47" t="inlineStr">
        <is>
          <t>GSMA Africa / ITU</t>
        </is>
      </c>
      <c r="H174" s="47" t="inlineStr">
        <is>
          <t>https://www.gsmaintelligence.com/research/the-mobile-economy-africa-2025</t>
        </is>
      </c>
    </row>
    <row r="175" ht="28.8" customHeight="1" s="50">
      <c r="A175" s="41" t="inlineStr">
        <is>
          <t>Africa</t>
        </is>
      </c>
      <c r="B175" s="41" t="inlineStr">
        <is>
          <t>Kenya</t>
        </is>
      </c>
      <c r="C175" s="41" t="inlineStr">
        <is>
          <t>ROB</t>
        </is>
      </c>
      <c r="D175" s="41" t="inlineStr">
        <is>
          <t>Robotics &amp; Intelligent Devices</t>
        </is>
      </c>
      <c r="E175" s="48" t="inlineStr">
        <is>
          <t>Low</t>
        </is>
      </c>
      <c r="F175" s="41" t="inlineStr">
        <is>
          <t>Robotics remains early-stage and not yet a broad purchasing priority.</t>
        </is>
      </c>
      <c r="G175" s="47" t="inlineStr">
        <is>
          <t>GSMA Africa / ITU</t>
        </is>
      </c>
      <c r="H175" s="47" t="inlineStr">
        <is>
          <t>https://www.gsmaintelligence.com/research/the-mobile-economy-africa-2025</t>
        </is>
      </c>
    </row>
    <row r="176" ht="28.8" customHeight="1" s="50">
      <c r="A176" s="41" t="inlineStr">
        <is>
          <t>Africa</t>
        </is>
      </c>
      <c r="B176" s="41" t="inlineStr">
        <is>
          <t>Kenya</t>
        </is>
      </c>
      <c r="C176" s="41" t="inlineStr">
        <is>
          <t>CEV</t>
        </is>
      </c>
      <c r="D176" s="41" t="inlineStr">
        <is>
          <t>Commercial Electronics &amp; Visual Systems</t>
        </is>
      </c>
      <c r="E176" s="48" t="inlineStr">
        <is>
          <t>Low</t>
        </is>
      </c>
      <c r="F176" s="41" t="inlineStr">
        <is>
          <t>Commercial electronics demand is present, but not yet a primary budget area.</t>
        </is>
      </c>
      <c r="G176" s="47" t="inlineStr">
        <is>
          <t>GSMA Africa / ITU</t>
        </is>
      </c>
      <c r="H176" s="47" t="inlineStr">
        <is>
          <t>https://www.gsmaintelligence.com/research/the-mobile-economy-africa-2025</t>
        </is>
      </c>
    </row>
    <row r="177" ht="28.8" customHeight="1" s="50">
      <c r="A177" s="41" t="inlineStr">
        <is>
          <t>Africa</t>
        </is>
      </c>
      <c r="B177" s="41" t="inlineStr">
        <is>
          <t>Nigeria</t>
        </is>
      </c>
      <c r="C177" s="41" t="inlineStr">
        <is>
          <t>TEL</t>
        </is>
      </c>
      <c r="D177" s="41" t="inlineStr">
        <is>
          <t>Telecommunications Infrastructure</t>
        </is>
      </c>
      <c r="E177" s="48" t="inlineStr">
        <is>
          <t>High</t>
        </is>
      </c>
      <c r="F177" s="41" t="inlineStr">
        <is>
          <t>Strong broadband / mobile infrastructure need and upgrade cycle.</t>
        </is>
      </c>
      <c r="G177" s="47" t="inlineStr">
        <is>
          <t>GSMA Africa / ITU</t>
        </is>
      </c>
      <c r="H177" s="47" t="inlineStr">
        <is>
          <t>https://www.gsmaintelligence.com/research/the-mobile-economy-africa-2025</t>
        </is>
      </c>
    </row>
    <row r="178" ht="28.8" customHeight="1" s="50">
      <c r="A178" s="41" t="inlineStr">
        <is>
          <t>Africa</t>
        </is>
      </c>
      <c r="B178" s="41" t="inlineStr">
        <is>
          <t>Nigeria</t>
        </is>
      </c>
      <c r="C178" s="41" t="inlineStr">
        <is>
          <t>NET</t>
        </is>
      </c>
      <c r="D178" s="41" t="inlineStr">
        <is>
          <t>Networking &amp; Data Systems</t>
        </is>
      </c>
      <c r="E178" s="48" t="inlineStr">
        <is>
          <t>Medium</t>
        </is>
      </c>
      <c r="F178" s="41" t="inlineStr">
        <is>
          <t>Steady network refresh and connectivity expansion support demand.</t>
        </is>
      </c>
      <c r="G178" s="47" t="inlineStr">
        <is>
          <t>GSMA Africa / ITU</t>
        </is>
      </c>
      <c r="H178" s="47" t="inlineStr">
        <is>
          <t>https://www.gsmaintelligence.com/research/the-mobile-economy-africa-2025</t>
        </is>
      </c>
    </row>
    <row r="179" ht="28.8" customHeight="1" s="50">
      <c r="A179" s="41" t="inlineStr">
        <is>
          <t>Africa</t>
        </is>
      </c>
      <c r="B179" s="41" t="inlineStr">
        <is>
          <t>Nigeria</t>
        </is>
      </c>
      <c r="C179" s="41" t="inlineStr">
        <is>
          <t>SEC</t>
        </is>
      </c>
      <c r="D179" s="41" t="inlineStr">
        <is>
          <t>Security &amp; Surveillance</t>
        </is>
      </c>
      <c r="E179" s="48" t="inlineStr">
        <is>
          <t>High</t>
        </is>
      </c>
      <c r="F179" s="41" t="inlineStr">
        <is>
          <t>Security spending, site protection and public/private monitoring needs are strong.</t>
        </is>
      </c>
      <c r="G179" s="47" t="inlineStr">
        <is>
          <t>GSMA Africa / ITU</t>
        </is>
      </c>
      <c r="H179" s="47" t="inlineStr">
        <is>
          <t>https://www.gsmaintelligence.com/research/the-mobile-economy-africa-2025</t>
        </is>
      </c>
    </row>
    <row r="180" ht="28.8" customHeight="1" s="50">
      <c r="A180" s="41" t="inlineStr">
        <is>
          <t>Africa</t>
        </is>
      </c>
      <c r="B180" s="41" t="inlineStr">
        <is>
          <t>Nigeria</t>
        </is>
      </c>
      <c r="C180" s="41" t="inlineStr">
        <is>
          <t>SBL</t>
        </is>
      </c>
      <c r="D180" s="41" t="inlineStr">
        <is>
          <t>Smart Building &amp; IoT</t>
        </is>
      </c>
      <c r="E180" s="48" t="inlineStr">
        <is>
          <t>Low</t>
        </is>
      </c>
      <c r="F180" s="41" t="inlineStr">
        <is>
          <t>Adoption remains selective and concentrated in higher-end developments.</t>
        </is>
      </c>
      <c r="G180" s="47" t="inlineStr">
        <is>
          <t>GSMA Africa / ITU</t>
        </is>
      </c>
      <c r="H180" s="47" t="inlineStr">
        <is>
          <t>https://www.gsmaintelligence.com/research/the-mobile-economy-africa-2025</t>
        </is>
      </c>
    </row>
    <row r="181" ht="28.8" customHeight="1" s="50">
      <c r="A181" s="41" t="inlineStr">
        <is>
          <t>Africa</t>
        </is>
      </c>
      <c r="B181" s="41" t="inlineStr">
        <is>
          <t>Nigeria</t>
        </is>
      </c>
      <c r="C181" s="41" t="inlineStr">
        <is>
          <t>DCA</t>
        </is>
      </c>
      <c r="D181" s="41" t="inlineStr">
        <is>
          <t>Data Centre &amp; AI Infrastructure</t>
        </is>
      </c>
      <c r="E181" s="48" t="inlineStr">
        <is>
          <t>Low</t>
        </is>
      </c>
      <c r="F181" s="41" t="inlineStr">
        <is>
          <t>Datacenter demand is still early-stage or constrained by power / market scale.</t>
        </is>
      </c>
      <c r="G181" s="47" t="inlineStr">
        <is>
          <t>GSMA Africa / ITU</t>
        </is>
      </c>
      <c r="H181" s="47" t="inlineStr">
        <is>
          <t>https://www.gsmaintelligence.com/research/the-mobile-economy-africa-2025</t>
        </is>
      </c>
    </row>
    <row r="182" ht="28.8" customHeight="1" s="50">
      <c r="A182" s="41" t="inlineStr">
        <is>
          <t>Africa</t>
        </is>
      </c>
      <c r="B182" s="41" t="inlineStr">
        <is>
          <t>Nigeria</t>
        </is>
      </c>
      <c r="C182" s="41" t="inlineStr">
        <is>
          <t>ROB</t>
        </is>
      </c>
      <c r="D182" s="41" t="inlineStr">
        <is>
          <t>Robotics &amp; Intelligent Devices</t>
        </is>
      </c>
      <c r="E182" s="48" t="inlineStr">
        <is>
          <t>Low</t>
        </is>
      </c>
      <c r="F182" s="41" t="inlineStr">
        <is>
          <t>Robotics remains early-stage and not yet a broad purchasing priority.</t>
        </is>
      </c>
      <c r="G182" s="47" t="inlineStr">
        <is>
          <t>GSMA Africa / ITU</t>
        </is>
      </c>
      <c r="H182" s="47" t="inlineStr">
        <is>
          <t>https://www.gsmaintelligence.com/research/the-mobile-economy-africa-2025</t>
        </is>
      </c>
    </row>
    <row r="183" ht="28.8" customHeight="1" s="50">
      <c r="A183" s="41" t="inlineStr">
        <is>
          <t>Africa</t>
        </is>
      </c>
      <c r="B183" s="41" t="inlineStr">
        <is>
          <t>Nigeria</t>
        </is>
      </c>
      <c r="C183" s="41" t="inlineStr">
        <is>
          <t>CEV</t>
        </is>
      </c>
      <c r="D183" s="41" t="inlineStr">
        <is>
          <t>Commercial Electronics &amp; Visual Systems</t>
        </is>
      </c>
      <c r="E183" s="48" t="inlineStr">
        <is>
          <t>Low</t>
        </is>
      </c>
      <c r="F183" s="41" t="inlineStr">
        <is>
          <t>Commercial electronics demand is present, but not yet a primary budget area.</t>
        </is>
      </c>
      <c r="G183" s="47" t="inlineStr">
        <is>
          <t>GSMA Africa / ITU</t>
        </is>
      </c>
      <c r="H183" s="47" t="inlineStr">
        <is>
          <t>https://www.gsmaintelligence.com/research/the-mobile-economy-africa-2025</t>
        </is>
      </c>
    </row>
    <row r="184" ht="28.8" customHeight="1" s="50">
      <c r="A184" s="41" t="inlineStr">
        <is>
          <t>Africa</t>
        </is>
      </c>
      <c r="B184" s="41" t="inlineStr">
        <is>
          <t>Morocco</t>
        </is>
      </c>
      <c r="C184" s="41" t="inlineStr">
        <is>
          <t>TEL</t>
        </is>
      </c>
      <c r="D184" s="41" t="inlineStr">
        <is>
          <t>Telecommunications Infrastructure</t>
        </is>
      </c>
      <c r="E184" s="48" t="inlineStr">
        <is>
          <t>Medium</t>
        </is>
      </c>
      <c r="F184" s="41" t="inlineStr">
        <is>
          <t>Selective fiber and access-network expansion supports demand.</t>
        </is>
      </c>
      <c r="G184" s="47" t="inlineStr">
        <is>
          <t>GSMA Africa / ITU</t>
        </is>
      </c>
      <c r="H184" s="47" t="inlineStr">
        <is>
          <t>https://www.gsmaintelligence.com/research/the-mobile-economy-africa-2025</t>
        </is>
      </c>
    </row>
    <row r="185" ht="28.8" customHeight="1" s="50">
      <c r="A185" s="41" t="inlineStr">
        <is>
          <t>Africa</t>
        </is>
      </c>
      <c r="B185" s="41" t="inlineStr">
        <is>
          <t>Morocco</t>
        </is>
      </c>
      <c r="C185" s="41" t="inlineStr">
        <is>
          <t>NET</t>
        </is>
      </c>
      <c r="D185" s="41" t="inlineStr">
        <is>
          <t>Networking &amp; Data Systems</t>
        </is>
      </c>
      <c r="E185" s="48" t="inlineStr">
        <is>
          <t>Medium</t>
        </is>
      </c>
      <c r="F185" s="41" t="inlineStr">
        <is>
          <t>Steady network refresh and connectivity expansion support demand.</t>
        </is>
      </c>
      <c r="G185" s="47" t="inlineStr">
        <is>
          <t>GSMA Africa / ITU</t>
        </is>
      </c>
      <c r="H185" s="47" t="inlineStr">
        <is>
          <t>https://www.gsmaintelligence.com/research/the-mobile-economy-africa-2025</t>
        </is>
      </c>
    </row>
    <row r="186" ht="28.8" customHeight="1" s="50">
      <c r="A186" s="41" t="inlineStr">
        <is>
          <t>Africa</t>
        </is>
      </c>
      <c r="B186" s="41" t="inlineStr">
        <is>
          <t>Morocco</t>
        </is>
      </c>
      <c r="C186" s="41" t="inlineStr">
        <is>
          <t>SEC</t>
        </is>
      </c>
      <c r="D186" s="41" t="inlineStr">
        <is>
          <t>Security &amp; Surveillance</t>
        </is>
      </c>
      <c r="E186" s="48" t="inlineStr">
        <is>
          <t>Medium</t>
        </is>
      </c>
      <c r="F186" s="41" t="inlineStr">
        <is>
          <t>Security demand is present across buildings and infrastructure, but project scale is uneven.</t>
        </is>
      </c>
      <c r="G186" s="47" t="inlineStr">
        <is>
          <t>GSMA Africa / ITU</t>
        </is>
      </c>
      <c r="H186" s="47" t="inlineStr">
        <is>
          <t>https://www.gsmaintelligence.com/research/the-mobile-economy-africa-2025</t>
        </is>
      </c>
    </row>
    <row r="187" ht="28.8" customHeight="1" s="50">
      <c r="A187" s="41" t="inlineStr">
        <is>
          <t>Africa</t>
        </is>
      </c>
      <c r="B187" s="41" t="inlineStr">
        <is>
          <t>Morocco</t>
        </is>
      </c>
      <c r="C187" s="41" t="inlineStr">
        <is>
          <t>SBL</t>
        </is>
      </c>
      <c r="D187" s="41" t="inlineStr">
        <is>
          <t>Smart Building &amp; IoT</t>
        </is>
      </c>
      <c r="E187" s="48" t="inlineStr">
        <is>
          <t>Low</t>
        </is>
      </c>
      <c r="F187" s="41" t="inlineStr">
        <is>
          <t>Adoption remains selective and concentrated in higher-end developments.</t>
        </is>
      </c>
      <c r="G187" s="47" t="inlineStr">
        <is>
          <t>GSMA Africa / ITU</t>
        </is>
      </c>
      <c r="H187" s="47" t="inlineStr">
        <is>
          <t>https://www.gsmaintelligence.com/research/the-mobile-economy-africa-2025</t>
        </is>
      </c>
    </row>
    <row r="188" ht="28.8" customHeight="1" s="50">
      <c r="A188" s="41" t="inlineStr">
        <is>
          <t>Africa</t>
        </is>
      </c>
      <c r="B188" s="41" t="inlineStr">
        <is>
          <t>Morocco</t>
        </is>
      </c>
      <c r="C188" s="41" t="inlineStr">
        <is>
          <t>DCA</t>
        </is>
      </c>
      <c r="D188" s="41" t="inlineStr">
        <is>
          <t>Data Centre &amp; AI Infrastructure</t>
        </is>
      </c>
      <c r="E188" s="48" t="inlineStr">
        <is>
          <t>Low</t>
        </is>
      </c>
      <c r="F188" s="41" t="inlineStr">
        <is>
          <t>Datacenter demand is still early-stage or constrained by power / market scale.</t>
        </is>
      </c>
      <c r="G188" s="47" t="inlineStr">
        <is>
          <t>GSMA Africa / ITU</t>
        </is>
      </c>
      <c r="H188" s="47" t="inlineStr">
        <is>
          <t>https://www.gsmaintelligence.com/research/the-mobile-economy-africa-2025</t>
        </is>
      </c>
    </row>
    <row r="189" ht="28.8" customHeight="1" s="50">
      <c r="A189" s="41" t="inlineStr">
        <is>
          <t>Africa</t>
        </is>
      </c>
      <c r="B189" s="41" t="inlineStr">
        <is>
          <t>Morocco</t>
        </is>
      </c>
      <c r="C189" s="41" t="inlineStr">
        <is>
          <t>ROB</t>
        </is>
      </c>
      <c r="D189" s="41" t="inlineStr">
        <is>
          <t>Robotics &amp; Intelligent Devices</t>
        </is>
      </c>
      <c r="E189" s="48" t="inlineStr">
        <is>
          <t>Low</t>
        </is>
      </c>
      <c r="F189" s="41" t="inlineStr">
        <is>
          <t>Robotics remains early-stage and not yet a broad purchasing priority.</t>
        </is>
      </c>
      <c r="G189" s="47" t="inlineStr">
        <is>
          <t>GSMA Africa / ITU</t>
        </is>
      </c>
      <c r="H189" s="47" t="inlineStr">
        <is>
          <t>https://www.gsmaintelligence.com/research/the-mobile-economy-africa-2025</t>
        </is>
      </c>
    </row>
    <row r="190" ht="28.8" customHeight="1" s="50">
      <c r="A190" s="41" t="inlineStr">
        <is>
          <t>Africa</t>
        </is>
      </c>
      <c r="B190" s="41" t="inlineStr">
        <is>
          <t>Morocco</t>
        </is>
      </c>
      <c r="C190" s="41" t="inlineStr">
        <is>
          <t>CEV</t>
        </is>
      </c>
      <c r="D190" s="41" t="inlineStr">
        <is>
          <t>Commercial Electronics &amp; Visual Systems</t>
        </is>
      </c>
      <c r="E190" s="48" t="inlineStr">
        <is>
          <t>Low</t>
        </is>
      </c>
      <c r="F190" s="41" t="inlineStr">
        <is>
          <t>Commercial electronics demand is present, but not yet a primary budget area.</t>
        </is>
      </c>
      <c r="G190" s="47" t="inlineStr">
        <is>
          <t>GSMA Africa / ITU</t>
        </is>
      </c>
      <c r="H190" s="47" t="inlineStr">
        <is>
          <t>https://www.gsmaintelligence.com/research/the-mobile-economy-africa-2025</t>
        </is>
      </c>
    </row>
    <row r="191" ht="28.8" customHeight="1" s="50">
      <c r="A191" s="41" t="inlineStr">
        <is>
          <t>Africa</t>
        </is>
      </c>
      <c r="B191" s="41" t="inlineStr">
        <is>
          <t>Ghana</t>
        </is>
      </c>
      <c r="C191" s="41" t="inlineStr">
        <is>
          <t>TEL</t>
        </is>
      </c>
      <c r="D191" s="41" t="inlineStr">
        <is>
          <t>Telecommunications Infrastructure</t>
        </is>
      </c>
      <c r="E191" s="48" t="inlineStr">
        <is>
          <t>Low</t>
        </is>
      </c>
      <c r="F191" s="41" t="inlineStr">
        <is>
          <t>Need exists, but market scale or execution conditions limit demand.</t>
        </is>
      </c>
      <c r="G191" s="47" t="inlineStr">
        <is>
          <t>GSMA Africa / ITU</t>
        </is>
      </c>
      <c r="H191" s="47" t="inlineStr">
        <is>
          <t>https://www.gsmaintelligence.com/research/the-mobile-economy-africa-2025</t>
        </is>
      </c>
    </row>
    <row r="192" ht="28.8" customHeight="1" s="50">
      <c r="A192" s="41" t="inlineStr">
        <is>
          <t>Africa</t>
        </is>
      </c>
      <c r="B192" s="41" t="inlineStr">
        <is>
          <t>Ghana</t>
        </is>
      </c>
      <c r="C192" s="41" t="inlineStr">
        <is>
          <t>NET</t>
        </is>
      </c>
      <c r="D192" s="41" t="inlineStr">
        <is>
          <t>Networking &amp; Data Systems</t>
        </is>
      </c>
      <c r="E192" s="48" t="inlineStr">
        <is>
          <t>Low</t>
        </is>
      </c>
      <c r="F192" s="41" t="inlineStr">
        <is>
          <t>Networking demand exists, but budgets and project depth stay limited.</t>
        </is>
      </c>
      <c r="G192" s="47" t="inlineStr">
        <is>
          <t>GSMA Africa / ITU</t>
        </is>
      </c>
      <c r="H192" s="47" t="inlineStr">
        <is>
          <t>https://www.gsmaintelligence.com/research/the-mobile-economy-africa-2025</t>
        </is>
      </c>
    </row>
    <row r="193" ht="28.8" customHeight="1" s="50">
      <c r="A193" s="41" t="inlineStr">
        <is>
          <t>Africa</t>
        </is>
      </c>
      <c r="B193" s="41" t="inlineStr">
        <is>
          <t>Ghana</t>
        </is>
      </c>
      <c r="C193" s="41" t="inlineStr">
        <is>
          <t>SEC</t>
        </is>
      </c>
      <c r="D193" s="41" t="inlineStr">
        <is>
          <t>Security &amp; Surveillance</t>
        </is>
      </c>
      <c r="E193" s="48" t="inlineStr">
        <is>
          <t>Medium</t>
        </is>
      </c>
      <c r="F193" s="41" t="inlineStr">
        <is>
          <t>Security demand is present across buildings and infrastructure, but project scale is uneven.</t>
        </is>
      </c>
      <c r="G193" s="47" t="inlineStr">
        <is>
          <t>GSMA Africa / ITU</t>
        </is>
      </c>
      <c r="H193" s="47" t="inlineStr">
        <is>
          <t>https://www.gsmaintelligence.com/research/the-mobile-economy-africa-2025</t>
        </is>
      </c>
    </row>
    <row r="194" ht="28.8" customHeight="1" s="50">
      <c r="A194" s="41" t="inlineStr">
        <is>
          <t>Africa</t>
        </is>
      </c>
      <c r="B194" s="41" t="inlineStr">
        <is>
          <t>Ghana</t>
        </is>
      </c>
      <c r="C194" s="41" t="inlineStr">
        <is>
          <t>SBL</t>
        </is>
      </c>
      <c r="D194" s="41" t="inlineStr">
        <is>
          <t>Smart Building &amp; IoT</t>
        </is>
      </c>
      <c r="E194" s="48" t="inlineStr">
        <is>
          <t>Low</t>
        </is>
      </c>
      <c r="F194" s="41" t="inlineStr">
        <is>
          <t>Adoption remains selective and concentrated in higher-end developments.</t>
        </is>
      </c>
      <c r="G194" s="47" t="inlineStr">
        <is>
          <t>GSMA Africa / ITU</t>
        </is>
      </c>
      <c r="H194" s="47" t="inlineStr">
        <is>
          <t>https://www.gsmaintelligence.com/research/the-mobile-economy-africa-2025</t>
        </is>
      </c>
    </row>
    <row r="195" ht="28.8" customHeight="1" s="50">
      <c r="A195" s="41" t="inlineStr">
        <is>
          <t>Africa</t>
        </is>
      </c>
      <c r="B195" s="41" t="inlineStr">
        <is>
          <t>Ghana</t>
        </is>
      </c>
      <c r="C195" s="41" t="inlineStr">
        <is>
          <t>DCA</t>
        </is>
      </c>
      <c r="D195" s="41" t="inlineStr">
        <is>
          <t>Data Centre &amp; AI Infrastructure</t>
        </is>
      </c>
      <c r="E195" s="48" t="inlineStr">
        <is>
          <t>Low</t>
        </is>
      </c>
      <c r="F195" s="41" t="inlineStr">
        <is>
          <t>Datacenter demand is still early-stage or constrained by power / market scale.</t>
        </is>
      </c>
      <c r="G195" s="47" t="inlineStr">
        <is>
          <t>GSMA Africa / ITU</t>
        </is>
      </c>
      <c r="H195" s="47" t="inlineStr">
        <is>
          <t>https://www.gsmaintelligence.com/research/the-mobile-economy-africa-2025</t>
        </is>
      </c>
    </row>
    <row r="196" ht="28.8" customHeight="1" s="50">
      <c r="A196" s="41" t="inlineStr">
        <is>
          <t>Africa</t>
        </is>
      </c>
      <c r="B196" s="41" t="inlineStr">
        <is>
          <t>Ghana</t>
        </is>
      </c>
      <c r="C196" s="41" t="inlineStr">
        <is>
          <t>ROB</t>
        </is>
      </c>
      <c r="D196" s="41" t="inlineStr">
        <is>
          <t>Robotics &amp; Intelligent Devices</t>
        </is>
      </c>
      <c r="E196" s="48" t="inlineStr">
        <is>
          <t>Low</t>
        </is>
      </c>
      <c r="F196" s="41" t="inlineStr">
        <is>
          <t>Robotics remains early-stage and not yet a broad purchasing priority.</t>
        </is>
      </c>
      <c r="G196" s="47" t="inlineStr">
        <is>
          <t>GSMA Africa / ITU</t>
        </is>
      </c>
      <c r="H196" s="47" t="inlineStr">
        <is>
          <t>https://www.gsmaintelligence.com/research/the-mobile-economy-africa-2025</t>
        </is>
      </c>
    </row>
    <row r="197" ht="28.8" customHeight="1" s="50">
      <c r="A197" s="41" t="inlineStr">
        <is>
          <t>Africa</t>
        </is>
      </c>
      <c r="B197" s="41" t="inlineStr">
        <is>
          <t>Ghana</t>
        </is>
      </c>
      <c r="C197" s="41" t="inlineStr">
        <is>
          <t>CEV</t>
        </is>
      </c>
      <c r="D197" s="41" t="inlineStr">
        <is>
          <t>Commercial Electronics &amp; Visual Systems</t>
        </is>
      </c>
      <c r="E197" s="48" t="inlineStr">
        <is>
          <t>Low</t>
        </is>
      </c>
      <c r="F197" s="41" t="inlineStr">
        <is>
          <t>Commercial electronics demand is present, but not yet a primary budget area.</t>
        </is>
      </c>
      <c r="G197" s="47" t="inlineStr">
        <is>
          <t>GSMA Africa / ITU</t>
        </is>
      </c>
      <c r="H197" s="47" t="inlineStr">
        <is>
          <t>https://www.gsmaintelligence.com/research/the-mobile-economy-africa-2025</t>
        </is>
      </c>
    </row>
    <row r="198" ht="28.8" customHeight="1" s="50">
      <c r="A198" s="41" t="inlineStr">
        <is>
          <t>Russia</t>
        </is>
      </c>
      <c r="B198" s="41" t="inlineStr">
        <is>
          <t>Russia Federation</t>
        </is>
      </c>
      <c r="C198" s="41" t="inlineStr">
        <is>
          <t>TEL</t>
        </is>
      </c>
      <c r="D198" s="41" t="inlineStr">
        <is>
          <t>Telecommunications Infrastructure</t>
        </is>
      </c>
      <c r="E198" s="48" t="inlineStr">
        <is>
          <t>High</t>
        </is>
      </c>
      <c r="F198" s="41" t="inlineStr">
        <is>
          <t>Strong broadband / mobile infrastructure need and upgrade cycle.</t>
        </is>
      </c>
      <c r="G198" s="47" t="inlineStr">
        <is>
          <t>World Bank / ITU</t>
        </is>
      </c>
      <c r="H198" s="47" t="inlineStr">
        <is>
          <t>https://data.worldbank.org/indicator/NY.GDP.MKTP.CD</t>
        </is>
      </c>
    </row>
    <row r="199" ht="28.8" customHeight="1" s="50">
      <c r="A199" s="41" t="inlineStr">
        <is>
          <t>Russia</t>
        </is>
      </c>
      <c r="B199" s="41" t="inlineStr">
        <is>
          <t>Russia Federation</t>
        </is>
      </c>
      <c r="C199" s="41" t="inlineStr">
        <is>
          <t>NET</t>
        </is>
      </c>
      <c r="D199" s="41" t="inlineStr">
        <is>
          <t>Networking &amp; Data Systems</t>
        </is>
      </c>
      <c r="E199" s="48" t="inlineStr">
        <is>
          <t>High</t>
        </is>
      </c>
      <c r="F199" s="41" t="inlineStr">
        <is>
          <t>Enterprise digitization and traffic growth support switching, routing and LAN demand.</t>
        </is>
      </c>
      <c r="G199" s="47" t="inlineStr">
        <is>
          <t>World Bank / ITU</t>
        </is>
      </c>
      <c r="H199" s="47" t="inlineStr">
        <is>
          <t>https://data.worldbank.org/indicator/NY.GDP.MKTP.CD</t>
        </is>
      </c>
    </row>
    <row r="200" ht="28.8" customHeight="1" s="50">
      <c r="A200" s="41" t="inlineStr">
        <is>
          <t>Russia</t>
        </is>
      </c>
      <c r="B200" s="41" t="inlineStr">
        <is>
          <t>Russia Federation</t>
        </is>
      </c>
      <c r="C200" s="41" t="inlineStr">
        <is>
          <t>SEC</t>
        </is>
      </c>
      <c r="D200" s="41" t="inlineStr">
        <is>
          <t>Security &amp; Surveillance</t>
        </is>
      </c>
      <c r="E200" s="48" t="inlineStr">
        <is>
          <t>High</t>
        </is>
      </c>
      <c r="F200" s="41" t="inlineStr">
        <is>
          <t>Security spending, site protection and public/private monitoring needs are strong.</t>
        </is>
      </c>
      <c r="G200" s="47" t="inlineStr">
        <is>
          <t>World Bank / ITU</t>
        </is>
      </c>
      <c r="H200" s="47" t="inlineStr">
        <is>
          <t>https://data.worldbank.org/indicator/NY.GDP.MKTP.CD</t>
        </is>
      </c>
    </row>
    <row r="201" ht="28.8" customHeight="1" s="50">
      <c r="A201" s="41" t="inlineStr">
        <is>
          <t>Russia</t>
        </is>
      </c>
      <c r="B201" s="41" t="inlineStr">
        <is>
          <t>Russia Federation</t>
        </is>
      </c>
      <c r="C201" s="41" t="inlineStr">
        <is>
          <t>SBL</t>
        </is>
      </c>
      <c r="D201" s="41" t="inlineStr">
        <is>
          <t>Smart Building &amp; IoT</t>
        </is>
      </c>
      <c r="E201" s="48" t="inlineStr">
        <is>
          <t>Medium</t>
        </is>
      </c>
      <c r="F201" s="41" t="inlineStr">
        <is>
          <t>Smart-building demand is growing, mainly in commercial and premium projects.</t>
        </is>
      </c>
      <c r="G201" s="47" t="inlineStr">
        <is>
          <t>World Bank / ITU</t>
        </is>
      </c>
      <c r="H201" s="47" t="inlineStr">
        <is>
          <t>https://data.worldbank.org/indicator/NY.GDP.MKTP.CD</t>
        </is>
      </c>
    </row>
    <row r="202" ht="28.8" customHeight="1" s="50">
      <c r="A202" s="41" t="inlineStr">
        <is>
          <t>Russia</t>
        </is>
      </c>
      <c r="B202" s="41" t="inlineStr">
        <is>
          <t>Russia Federation</t>
        </is>
      </c>
      <c r="C202" s="41" t="inlineStr">
        <is>
          <t>DCA</t>
        </is>
      </c>
      <c r="D202" s="41" t="inlineStr">
        <is>
          <t>Data Centre &amp; AI Infrastructure</t>
        </is>
      </c>
      <c r="E202" s="48" t="inlineStr">
        <is>
          <t>Medium</t>
        </is>
      </c>
      <c r="F202" s="41" t="inlineStr">
        <is>
          <t>Emerging demand exists through enterprise, colocation or regional hub development.</t>
        </is>
      </c>
      <c r="G202" s="47" t="inlineStr">
        <is>
          <t>World Bank / ITU</t>
        </is>
      </c>
      <c r="H202" s="47" t="inlineStr">
        <is>
          <t>https://data.worldbank.org/indicator/NY.GDP.MKTP.CD</t>
        </is>
      </c>
    </row>
    <row r="203" ht="28.8" customHeight="1" s="50">
      <c r="A203" s="41" t="inlineStr">
        <is>
          <t>Russia</t>
        </is>
      </c>
      <c r="B203" s="41" t="inlineStr">
        <is>
          <t>Russia Federation</t>
        </is>
      </c>
      <c r="C203" s="41" t="inlineStr">
        <is>
          <t>ROB</t>
        </is>
      </c>
      <c r="D203" s="41" t="inlineStr">
        <is>
          <t>Robotics &amp; Intelligent Devices</t>
        </is>
      </c>
      <c r="E203" s="48" t="inlineStr">
        <is>
          <t>Low</t>
        </is>
      </c>
      <c r="F203" s="41" t="inlineStr">
        <is>
          <t>Robotics remains early-stage and not yet a broad purchasing priority.</t>
        </is>
      </c>
      <c r="G203" s="47" t="inlineStr">
        <is>
          <t>World Bank / ITU</t>
        </is>
      </c>
      <c r="H203" s="47" t="inlineStr">
        <is>
          <t>https://data.worldbank.org/indicator/NY.GDP.MKTP.CD</t>
        </is>
      </c>
    </row>
    <row r="204" ht="28.8" customHeight="1" s="50">
      <c r="A204" s="41" t="inlineStr">
        <is>
          <t>Russia</t>
        </is>
      </c>
      <c r="B204" s="41" t="inlineStr">
        <is>
          <t>Russia Federation</t>
        </is>
      </c>
      <c r="C204" s="41" t="inlineStr">
        <is>
          <t>CEV</t>
        </is>
      </c>
      <c r="D204" s="41" t="inlineStr">
        <is>
          <t>Commercial Electronics &amp; Visual Systems</t>
        </is>
      </c>
      <c r="E204" s="48" t="inlineStr">
        <is>
          <t>Medium</t>
        </is>
      </c>
      <c r="F204" s="41" t="inlineStr">
        <is>
          <t>Commercial display and workplace-system demand is growing selectively.</t>
        </is>
      </c>
      <c r="G204" s="47" t="inlineStr">
        <is>
          <t>World Bank / ITU</t>
        </is>
      </c>
      <c r="H204" s="47" t="inlineStr">
        <is>
          <t>https://data.worldbank.org/indicator/NY.GDP.MKTP.CD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2026-03-21T14:42:04Z</dcterms:created>
  <dcterms:modified xmlns:dcterms="http://purl.org/dc/terms/" xmlns:xsi="http://www.w3.org/2001/XMLSchema-instance" xsi:type="dcterms:W3CDTF">2026-04-15T12:55:00Z</dcterms:modified>
  <cp:lastModifiedBy>User</cp:lastModifiedBy>
</cp:coreProperties>
</file>